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 Dan" sheetId="1" state="visible" r:id="rId1"/>
    <sheet xmlns:r="http://schemas.openxmlformats.org/officeDocument/2006/relationships" name="Content Calendar" sheetId="2" state="visible" r:id="rId2"/>
    <sheet xmlns:r="http://schemas.openxmlformats.org/officeDocument/2006/relationships" name="Dashboard Can Bang" sheetId="3" state="visible" r:id="rId3"/>
    <sheet xmlns:r="http://schemas.openxmlformats.org/officeDocument/2006/relationships" name="Config" sheetId="4" state="visible" r:id="rId4"/>
    <sheet xmlns:r="http://schemas.openxmlformats.org/officeDocument/2006/relationships" name="Pillar 1" sheetId="5" state="visible" r:id="rId5"/>
    <sheet xmlns:r="http://schemas.openxmlformats.org/officeDocument/2006/relationships" name="Pillar 2" sheetId="6" state="visible" r:id="rId6"/>
    <sheet xmlns:r="http://schemas.openxmlformats.org/officeDocument/2006/relationships" name="Pillar 3" sheetId="7" state="visible" r:id="rId7"/>
    <sheet xmlns:r="http://schemas.openxmlformats.org/officeDocument/2006/relationships" name="Pillar 4" sheetId="8" state="visible" r:id="rId8"/>
    <sheet xmlns:r="http://schemas.openxmlformats.org/officeDocument/2006/relationships" name="Tuan Buffer" sheetId="9" state="visible" r:id="rId9"/>
  </sheets>
  <definedNames/>
  <calcPr calcId="124519" calcMode="auto" fullCalcOnLoad="1"/>
</workbook>
</file>

<file path=xl/styles.xml><?xml version="1.0" encoding="utf-8"?>
<styleSheet xmlns="http://schemas.openxmlformats.org/spreadsheetml/2006/main">
  <numFmts count="3">
    <numFmt numFmtId="164" formatCode="yyyy-mm-dd"/>
    <numFmt numFmtId="165" formatCode="dd/mm/yyyy"/>
    <numFmt numFmtId="166" formatCode="0.0%"/>
  </numFmts>
  <fonts count="31">
    <font>
      <name val="Calibri"/>
      <family val="2"/>
      <color theme="1"/>
      <sz val="11"/>
      <scheme val="minor"/>
    </font>
    <font>
      <b val="1"/>
      <color rgb="00FFFFFF"/>
      <sz val="13"/>
    </font>
    <font>
      <b val="1"/>
      <color rgb="00203864"/>
      <sz val="11"/>
    </font>
    <font>
      <name val="Calibri"/>
      <b val="1"/>
      <sz val="10"/>
    </font>
    <font>
      <i val="1"/>
      <color rgb="00595959"/>
      <sz val="9"/>
    </font>
    <font>
      <name val="Calibri"/>
      <b val="1"/>
      <color rgb="00FFFFFF"/>
      <sz val="11"/>
    </font>
    <font>
      <b val="1"/>
      <color rgb="00FFFFFF"/>
    </font>
    <font>
      <i val="1"/>
      <color rgb="00C00000"/>
      <sz val="9"/>
    </font>
    <font>
      <name val="Calibri"/>
      <b val="1"/>
      <color rgb="00FFFFFF"/>
      <sz val="16"/>
    </font>
    <font>
      <i val="1"/>
      <color rgb="00404040"/>
      <sz val="10"/>
    </font>
    <font>
      <name val="Calibri"/>
      <sz val="10"/>
    </font>
    <font>
      <b val="1"/>
      <color rgb="00FFFFFF"/>
      <sz val="15"/>
    </font>
    <font>
      <b val="1"/>
      <color rgb="00000000"/>
    </font>
    <font>
      <b val="1"/>
      <color rgb="00C00000"/>
    </font>
    <font>
      <b val="1"/>
      <color rgb="00FFFFFF"/>
      <sz val="10"/>
    </font>
    <font>
      <b val="1"/>
      <color rgb="00595959"/>
      <sz val="9"/>
    </font>
    <font>
      <b val="1"/>
      <sz val="8"/>
    </font>
    <font>
      <b val="1"/>
      <sz val="11"/>
    </font>
    <font>
      <b val="1"/>
      <color rgb="00FF0000"/>
    </font>
    <font>
      <b val="1"/>
      <color rgb="002E75B6"/>
    </font>
    <font>
      <b val="1"/>
      <color rgb="0070AD47"/>
    </font>
    <font>
      <b val="1"/>
      <color rgb="00FFFFFF"/>
      <sz val="14"/>
    </font>
    <font>
      <b val="1"/>
      <i val="1"/>
    </font>
    <font>
      <b val="1"/>
    </font>
    <font>
      <b val="1"/>
      <color rgb="00203864"/>
      <sz val="14"/>
    </font>
    <font>
      <color rgb="00000000"/>
      <sz val="10"/>
    </font>
    <font>
      <b val="1"/>
      <color rgb="00C00000"/>
      <sz val="11"/>
    </font>
    <font>
      <b val="1"/>
      <color rgb="00000000"/>
      <sz val="11"/>
    </font>
    <font>
      <b val="1"/>
      <color rgb="00203864"/>
      <sz val="10"/>
    </font>
    <font>
      <b val="1"/>
      <sz val="9"/>
    </font>
    <font>
      <sz val="9"/>
    </font>
  </fonts>
  <fills count="20">
    <fill>
      <patternFill/>
    </fill>
    <fill>
      <patternFill patternType="gray125"/>
    </fill>
    <fill>
      <patternFill patternType="solid">
        <fgColor rgb="00203864"/>
      </patternFill>
    </fill>
    <fill>
      <patternFill patternType="solid">
        <fgColor rgb="004472C4"/>
      </patternFill>
    </fill>
    <fill>
      <patternFill patternType="solid">
        <fgColor rgb="00548235"/>
      </patternFill>
    </fill>
    <fill>
      <patternFill patternType="solid">
        <fgColor rgb="00BF8F00"/>
      </patternFill>
    </fill>
    <fill>
      <patternFill patternType="solid">
        <fgColor rgb="002E75B6"/>
      </patternFill>
    </fill>
    <fill>
      <patternFill patternType="solid">
        <fgColor rgb="00C55A11"/>
      </patternFill>
    </fill>
    <fill>
      <patternFill patternType="solid">
        <fgColor rgb="007F7F7F"/>
      </patternFill>
    </fill>
    <fill>
      <patternFill patternType="solid">
        <fgColor rgb="00FFFFFF"/>
      </patternFill>
    </fill>
    <fill>
      <patternFill patternType="solid">
        <fgColor rgb="00375623"/>
      </patternFill>
    </fill>
    <fill>
      <patternFill patternType="solid">
        <fgColor rgb="00D9D9D9"/>
      </patternFill>
    </fill>
    <fill>
      <patternFill patternType="solid">
        <fgColor rgb="00F2F2F2"/>
      </patternFill>
    </fill>
    <fill>
      <patternFill patternType="solid">
        <fgColor rgb="00FCE4D6"/>
      </patternFill>
    </fill>
    <fill>
      <patternFill patternType="solid">
        <fgColor rgb="00C6E0B4"/>
      </patternFill>
    </fill>
    <fill>
      <patternFill patternType="solid">
        <fgColor rgb="00FFE699"/>
      </patternFill>
    </fill>
    <fill>
      <patternFill patternType="solid">
        <fgColor rgb="00BDD7EE"/>
      </patternFill>
    </fill>
    <fill>
      <patternFill patternType="solid">
        <fgColor rgb="00F8CBAD"/>
      </patternFill>
    </fill>
    <fill>
      <patternFill patternType="solid">
        <fgColor rgb="00FFC7CE"/>
      </patternFill>
    </fill>
    <fill>
      <patternFill patternType="solid">
        <fgColor rgb="00E2EFDA"/>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75">
    <xf numFmtId="0" fontId="0" fillId="0" borderId="0" pivotButton="0" quotePrefix="0" xfId="0"/>
    <xf numFmtId="0" fontId="24" fillId="0" borderId="0" applyAlignment="1" pivotButton="0" quotePrefix="0" xfId="0">
      <alignment vertical="top" wrapText="1"/>
    </xf>
    <xf numFmtId="0" fontId="25" fillId="0" borderId="0" applyAlignment="1" pivotButton="0" quotePrefix="0" xfId="0">
      <alignment vertical="top" wrapText="1"/>
    </xf>
    <xf numFmtId="0" fontId="26" fillId="0" borderId="0" applyAlignment="1" pivotButton="0" quotePrefix="0" xfId="0">
      <alignment vertical="top" wrapText="1"/>
    </xf>
    <xf numFmtId="0" fontId="27" fillId="0" borderId="0" applyAlignment="1" pivotButton="0" quotePrefix="0" xfId="0">
      <alignment vertical="top" wrapText="1"/>
    </xf>
    <xf numFmtId="0" fontId="28" fillId="0" borderId="0" pivotButton="0" quotePrefix="0" xfId="0"/>
    <xf numFmtId="0" fontId="14" fillId="3" borderId="1" applyAlignment="1" pivotButton="0" quotePrefix="0" xfId="0">
      <alignment horizontal="center" vertical="center" wrapText="1"/>
    </xf>
    <xf numFmtId="0" fontId="29" fillId="9" borderId="1" applyAlignment="1" pivotButton="0" quotePrefix="0" xfId="0">
      <alignment horizontal="left" vertical="top" wrapText="1"/>
    </xf>
    <xf numFmtId="0" fontId="30" fillId="9" borderId="1" applyAlignment="1" pivotButton="0" quotePrefix="0" xfId="0">
      <alignment horizontal="left" vertical="top" wrapText="1"/>
    </xf>
    <xf numFmtId="0" fontId="4" fillId="9" borderId="1" applyAlignment="1" pivotButton="0" quotePrefix="0" xfId="0">
      <alignment horizontal="left" vertical="top" wrapText="1"/>
    </xf>
    <xf numFmtId="0" fontId="29" fillId="12" borderId="1" applyAlignment="1" pivotButton="0" quotePrefix="0" xfId="0">
      <alignment horizontal="left" vertical="top" wrapText="1"/>
    </xf>
    <xf numFmtId="0" fontId="30" fillId="12" borderId="1" applyAlignment="1" pivotButton="0" quotePrefix="0" xfId="0">
      <alignment horizontal="left" vertical="top" wrapText="1"/>
    </xf>
    <xf numFmtId="0" fontId="4" fillId="12" borderId="1" applyAlignment="1" pivotButton="0" quotePrefix="0" xfId="0">
      <alignment horizontal="left" vertical="top" wrapText="1"/>
    </xf>
    <xf numFmtId="0" fontId="11" fillId="10" borderId="0" applyAlignment="1" pivotButton="0" quotePrefix="0" xfId="0">
      <alignment horizontal="center" vertical="center"/>
    </xf>
    <xf numFmtId="0" fontId="3" fillId="11" borderId="1" applyAlignment="1" pivotButton="0" quotePrefix="0" xfId="0">
      <alignment horizontal="center" vertical="center" wrapText="1"/>
    </xf>
    <xf numFmtId="0" fontId="12" fillId="12" borderId="1" applyAlignment="1" pivotButton="0" quotePrefix="0" xfId="0">
      <alignment horizontal="center" vertical="center" wrapText="1"/>
    </xf>
    <xf numFmtId="0" fontId="13" fillId="13" borderId="1" applyAlignment="1" pivotButton="0" quotePrefix="0" xfId="0">
      <alignment horizontal="center" vertical="center" wrapText="1"/>
    </xf>
    <xf numFmtId="0" fontId="14" fillId="4" borderId="1" applyAlignment="1" pivotButton="0" quotePrefix="0" xfId="0">
      <alignment horizontal="center" vertical="center" wrapText="1"/>
    </xf>
    <xf numFmtId="0" fontId="0" fillId="12" borderId="1" pivotButton="0" quotePrefix="0" xfId="0"/>
    <xf numFmtId="0" fontId="15" fillId="14" borderId="1" applyAlignment="1" pivotButton="0" quotePrefix="0" xfId="0">
      <alignment horizontal="center" vertical="center" wrapText="1"/>
    </xf>
    <xf numFmtId="165" fontId="0" fillId="0" borderId="0" pivotButton="0" quotePrefix="0" xfId="0"/>
    <xf numFmtId="0" fontId="16" fillId="9" borderId="1" applyAlignment="1" pivotButton="0" quotePrefix="0" xfId="0">
      <alignment horizontal="left" vertical="top" wrapText="1"/>
    </xf>
    <xf numFmtId="0" fontId="14" fillId="5" borderId="1" applyAlignment="1" pivotButton="0" quotePrefix="0" xfId="0">
      <alignment horizontal="center" vertical="center" wrapText="1"/>
    </xf>
    <xf numFmtId="0" fontId="15" fillId="15" borderId="1" applyAlignment="1" pivotButton="0" quotePrefix="0" xfId="0">
      <alignment horizontal="center" vertical="center" wrapText="1"/>
    </xf>
    <xf numFmtId="0" fontId="14" fillId="6" borderId="1" applyAlignment="1" pivotButton="0" quotePrefix="0" xfId="0">
      <alignment horizontal="center" vertical="center" wrapText="1"/>
    </xf>
    <xf numFmtId="0" fontId="15" fillId="16" borderId="1" applyAlignment="1" pivotButton="0" quotePrefix="0" xfId="0">
      <alignment horizontal="center" vertical="center" wrapText="1"/>
    </xf>
    <xf numFmtId="0" fontId="14" fillId="7" borderId="1" applyAlignment="1" pivotButton="0" quotePrefix="0" xfId="0">
      <alignment horizontal="center" vertical="center" wrapText="1"/>
    </xf>
    <xf numFmtId="0" fontId="15" fillId="17" borderId="1" applyAlignment="1" pivotButton="0" quotePrefix="0" xfId="0">
      <alignment horizontal="center" vertical="center" wrapText="1"/>
    </xf>
    <xf numFmtId="0" fontId="14" fillId="8" borderId="1" applyAlignment="1" pivotButton="0" quotePrefix="0" xfId="0">
      <alignment horizontal="center" vertical="center" wrapText="1"/>
    </xf>
    <xf numFmtId="0" fontId="15" fillId="11" borderId="1" applyAlignment="1" pivotButton="0" quotePrefix="0" xfId="0">
      <alignment horizontal="center" vertical="center" wrapText="1"/>
    </xf>
    <xf numFmtId="0" fontId="17" fillId="0" borderId="0" pivotButton="0" quotePrefix="0" xfId="0"/>
    <xf numFmtId="0" fontId="18" fillId="18" borderId="1" pivotButton="0" quotePrefix="0" xfId="0"/>
    <xf numFmtId="0" fontId="4" fillId="0" borderId="0" pivotButton="0" quotePrefix="0" xfId="0"/>
    <xf numFmtId="0" fontId="19" fillId="16" borderId="1" pivotButton="0" quotePrefix="0" xfId="0"/>
    <xf numFmtId="0" fontId="20" fillId="19" borderId="1" pivotButton="0" quotePrefix="0" xfId="0"/>
    <xf numFmtId="0" fontId="21" fillId="2" borderId="0" applyAlignment="1" pivotButton="0" quotePrefix="0" xfId="0">
      <alignment horizontal="center" vertical="center"/>
    </xf>
    <xf numFmtId="0" fontId="5"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14" borderId="1" pivotButton="0" quotePrefix="0" xfId="0"/>
    <xf numFmtId="0" fontId="0" fillId="15" borderId="1" pivotButton="0" quotePrefix="0" xfId="0"/>
    <xf numFmtId="0" fontId="0" fillId="16" borderId="1" pivotButton="0" quotePrefix="0" xfId="0"/>
    <xf numFmtId="0" fontId="0" fillId="17" borderId="1" pivotButton="0" quotePrefix="0" xfId="0"/>
    <xf numFmtId="0" fontId="0" fillId="11" borderId="1" pivotButton="0" quotePrefix="0" xfId="0"/>
    <xf numFmtId="166" fontId="0" fillId="0" borderId="1" applyAlignment="1" pivotButton="0" quotePrefix="0" xfId="0">
      <alignment horizontal="center" vertical="center" wrapText="1"/>
    </xf>
    <xf numFmtId="0" fontId="22" fillId="0" borderId="0" pivotButton="0" quotePrefix="0" xfId="0"/>
    <xf numFmtId="0" fontId="23" fillId="0" borderId="0" pivotButton="0" quotePrefix="0" xfId="0"/>
    <xf numFmtId="9" fontId="23" fillId="0" borderId="0" pivotButton="0" quotePrefix="0" xfId="0"/>
    <xf numFmtId="0" fontId="1" fillId="2" borderId="0" applyAlignment="1" pivotButton="0" quotePrefix="0" xfId="0">
      <alignment horizontal="left" vertical="center"/>
    </xf>
    <xf numFmtId="0" fontId="2" fillId="0" borderId="0" pivotButton="0" quotePrefix="0" xfId="0"/>
    <xf numFmtId="0" fontId="3" fillId="0" borderId="1" applyAlignment="1" pivotButton="0" quotePrefix="0" xfId="0">
      <alignment horizontal="left" vertical="top" wrapText="1"/>
    </xf>
    <xf numFmtId="0" fontId="0" fillId="0" borderId="1" applyAlignment="1" pivotButton="0" quotePrefix="0" xfId="0">
      <alignment horizontal="left" vertical="top" wrapText="1"/>
    </xf>
    <xf numFmtId="0" fontId="4" fillId="0" borderId="1" applyAlignment="1" pivotButton="0" quotePrefix="0" xfId="0">
      <alignment horizontal="left" vertical="top" wrapText="1"/>
    </xf>
    <xf numFmtId="165" fontId="0" fillId="0" borderId="1" applyAlignment="1" pivotButton="0" quotePrefix="0" xfId="0">
      <alignment horizontal="left" vertical="top" wrapText="1"/>
    </xf>
    <xf numFmtId="9" fontId="0" fillId="0" borderId="1" applyAlignment="1" pivotButton="0" quotePrefix="0" xfId="0">
      <alignment horizontal="left" vertical="top" wrapText="1"/>
    </xf>
    <xf numFmtId="0" fontId="0" fillId="0" borderId="1" pivotButton="0" quotePrefix="0" xfId="0"/>
    <xf numFmtId="0" fontId="6" fillId="4" borderId="1" pivotButton="0" quotePrefix="0" xfId="0"/>
    <xf numFmtId="0" fontId="6" fillId="5" borderId="1" pivotButton="0" quotePrefix="0" xfId="0"/>
    <xf numFmtId="0" fontId="6" fillId="6" borderId="1" pivotButton="0" quotePrefix="0" xfId="0"/>
    <xf numFmtId="0" fontId="6" fillId="7" borderId="1" pivotButton="0" quotePrefix="0" xfId="0"/>
    <xf numFmtId="0" fontId="6" fillId="8" borderId="1" pivotButton="0" quotePrefix="0" xfId="0"/>
    <xf numFmtId="0" fontId="3" fillId="0" borderId="1" pivotButton="0" quotePrefix="0" xfId="0"/>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0" borderId="0" applyAlignment="1" pivotButton="0" quotePrefix="0" xfId="0">
      <alignment horizontal="left" vertical="center"/>
    </xf>
    <xf numFmtId="0" fontId="5" fillId="4" borderId="1" applyAlignment="1" pivotButton="0" quotePrefix="0" xfId="0">
      <alignment horizontal="center" vertical="center" wrapText="1"/>
    </xf>
    <xf numFmtId="0" fontId="10" fillId="9" borderId="1" applyAlignment="1" pivotButton="0" quotePrefix="0" xfId="0">
      <alignment horizontal="left" vertical="top" wrapText="1"/>
    </xf>
    <xf numFmtId="165" fontId="10" fillId="9" borderId="1" applyAlignment="1" pivotButton="0" quotePrefix="0" xfId="0">
      <alignment horizontal="left" vertical="top" wrapText="1"/>
    </xf>
    <xf numFmtId="0" fontId="8" fillId="5" borderId="0" applyAlignment="1" pivotButton="0" quotePrefix="0" xfId="0">
      <alignment horizontal="center" vertical="center"/>
    </xf>
    <xf numFmtId="0" fontId="5" fillId="5" borderId="1" applyAlignment="1" pivotButton="0" quotePrefix="0" xfId="0">
      <alignment horizontal="center" vertical="center" wrapText="1"/>
    </xf>
    <xf numFmtId="0" fontId="8" fillId="6" borderId="0" applyAlignment="1" pivotButton="0" quotePrefix="0" xfId="0">
      <alignment horizontal="center" vertical="center"/>
    </xf>
    <xf numFmtId="0" fontId="5" fillId="6" borderId="1" applyAlignment="1" pivotButton="0" quotePrefix="0" xfId="0">
      <alignment horizontal="center" vertical="center" wrapText="1"/>
    </xf>
    <xf numFmtId="0" fontId="8" fillId="7" borderId="0" applyAlignment="1" pivotButton="0" quotePrefix="0" xfId="0">
      <alignment horizontal="center" vertical="center"/>
    </xf>
    <xf numFmtId="0" fontId="5" fillId="7" borderId="1" applyAlignment="1" pivotButton="0" quotePrefix="0" xfId="0">
      <alignment horizontal="center" vertical="center" wrapText="1"/>
    </xf>
    <xf numFmtId="0" fontId="8" fillId="8" borderId="0" applyAlignment="1" pivotButton="0" quotePrefix="0" xfId="0">
      <alignment horizontal="center" vertical="center"/>
    </xf>
    <xf numFmtId="0" fontId="5" fillId="8" borderId="1" applyAlignment="1" pivotButton="0" quotePrefix="0" xfId="0">
      <alignment horizontal="center" vertical="center" wrapText="1"/>
    </xf>
  </cellXfs>
  <cellStyles count="1">
    <cellStyle name="Normal" xfId="0" builtinId="0" hidden="0"/>
  </cellStyles>
  <dxfs count="10">
    <dxf>
      <font>
        <b val="1"/>
        <color rgb="00FF0000"/>
        <sz val="8"/>
      </font>
      <fill>
        <patternFill patternType="solid">
          <fgColor rgb="FFFFC7CE"/>
          <bgColor rgb="FFFFC7CE"/>
        </patternFill>
      </fill>
    </dxf>
    <dxf>
      <font>
        <b val="1"/>
        <color rgb="002E75B6"/>
        <sz val="8"/>
      </font>
      <fill>
        <patternFill patternType="solid">
          <fgColor rgb="FFBDD7EE"/>
          <bgColor rgb="FFBDD7EE"/>
        </patternFill>
      </fill>
    </dxf>
    <dxf>
      <font>
        <b val="1"/>
        <color rgb="0070AD47"/>
        <sz val="8"/>
      </font>
      <fill>
        <patternFill patternType="solid">
          <fgColor rgb="FFE2EFDA"/>
          <bgColor rgb="FFE2EFDA"/>
        </patternFill>
      </fill>
    </dxf>
    <dxf>
      <fill>
        <patternFill patternType="solid">
          <fgColor rgb="FFC6EFCE"/>
          <bgColor rgb="FFC6EFCE"/>
        </patternFill>
      </fill>
    </dxf>
    <dxf>
      <fill>
        <patternFill patternType="solid">
          <fgColor rgb="FFFFC7CE"/>
          <bgColor rgb="FFFFC7CE"/>
        </patternFill>
      </fill>
    </dxf>
    <dxf>
      <fill>
        <patternFill patternType="solid">
          <fgColor rgb="FFFCE4D6"/>
          <bgColor rgb="FFFCE4D6"/>
        </patternFill>
      </fill>
    </dxf>
    <dxf>
      <font>
        <b val="1"/>
        <color rgb="00006100"/>
      </font>
      <fill>
        <patternFill patternType="solid">
          <fgColor rgb="FFC6EFCE"/>
          <bgColor rgb="FFC6EFCE"/>
        </patternFill>
      </fill>
    </dxf>
    <dxf>
      <font>
        <b val="1"/>
        <color rgb="009C6500"/>
      </font>
      <fill>
        <patternFill patternType="solid">
          <fgColor rgb="FFFFEB9C"/>
          <bgColor rgb="FFFFEB9C"/>
        </patternFill>
      </fill>
    </dxf>
    <dxf>
      <font>
        <b val="1"/>
        <color rgb="002E75B6"/>
      </font>
      <fill>
        <patternFill patternType="solid">
          <fgColor rgb="FFDDEBF7"/>
          <bgColor rgb="FFDDEBF7"/>
        </patternFill>
      </fill>
    </dxf>
    <dxf>
      <font>
        <b val="1"/>
        <color rgb="00C55A11"/>
      </font>
      <fill>
        <patternFill patternType="solid">
          <fgColor rgb="FFFCE4D6"/>
          <bgColor rgb="FF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Content Calendar</author>
  </authors>
  <commentList>
    <comment ref="C4"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D4"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E4"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F4"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G4"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H4"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B6"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C6"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D6"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E6"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F6"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G6"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H6"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B8"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C8"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D8"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E8"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F8"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G8"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H8"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B10"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C10"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D10"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E10"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F10"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G10"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H10"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B12"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C12"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 ref="D12" authorId="0" shapeId="0">
      <text>
        <t>Nội dung, màu ô và liên kết (click để mở) đều là CÔNG THỨC tự động lấy từ sheet Pillar
theo Ngày đăng — không phải giá trị/hyperlink tĩnh. Sửa/xóa dòng trong Pillar sẽ cập nhật ngay.
Nếu ô đang trống: có thể là ngày BUFFER (chừa trống cho newsjacking) hoặc chưa có cluster nào cho ngày này.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98"/>
  <sheetViews>
    <sheetView showGridLines="0" workbookViewId="0">
      <selection activeCell="A1" sqref="A1"/>
    </sheetView>
  </sheetViews>
  <sheetFormatPr baseColWidth="8" defaultRowHeight="15"/>
  <cols>
    <col width="118" customWidth="1" min="1" max="1"/>
    <col width="55" customWidth="1" min="2" max="2"/>
    <col width="60" customWidth="1" min="3" max="3"/>
  </cols>
  <sheetData>
    <row r="1">
      <c r="A1" s="1" t="inlineStr">
        <is>
          <t>HƯỚNG DẪN SỬ DỤNG &amp; TÁI SỬ DỤNG TEMPLATE CONTENT CALENDAR ĐA NGÀNH</t>
        </is>
      </c>
    </row>
    <row r="2">
      <c r="A2" s="2" t="inlineStr"/>
    </row>
    <row r="3">
      <c r="A3" s="3" t="inlineStr">
        <is>
          <t>0. FILE NÀY LÀ TEMPLATE TRỐNG — chưa có nội dung cluster mẫu nào:</t>
        </is>
      </c>
    </row>
    <row r="4">
      <c r="A4" s="2" t="inlineStr">
        <is>
          <t xml:space="preserve">   - Tất cả sheet Pillar (và Tuan Buffer) hiện KHÔNG có dòng dữ liệu nào — chỉ có cấu trúc cột, header,</t>
        </is>
      </c>
    </row>
    <row r="5">
      <c r="A5" s="2" t="inlineStr">
        <is>
          <t xml:space="preserve">     dropdown (Loại 3H/Kênh/Trạng thái/Phễu), công thức Tuần/Deadline, và định dạng màu theo trạng thái.</t>
        </is>
      </c>
    </row>
    <row r="6">
      <c r="A6" s="2" t="inlineStr">
        <is>
          <t xml:space="preserve">   - Content Calendar và Dashboard vẫn hiển thị đúng lưới/công thức nhưng sẽ trống/= 0 cho tới khi bạn điền dữ liệu.</t>
        </is>
      </c>
    </row>
    <row r="7">
      <c r="A7" s="2" t="inlineStr">
        <is>
          <t xml:space="preserve">   - Cách thêm nội dung thật (khuyến nghị — KHÔNG cần chạy lại script): mở sheet Pillar tương ứng, điền trực tiếp</t>
        </is>
      </c>
    </row>
    <row r="8">
      <c r="A8" s="2" t="inlineStr">
        <is>
          <t xml:space="preserve">     vào các cột: Mã Cluster, Tên bài/Chủ đề, Loại 3H (chọn từ dropdown), Mục tiêu phễu, Persona, Từ khóa, Tone,</t>
        </is>
      </c>
    </row>
    <row r="9">
      <c r="A9" s="2" t="inlineStr">
        <is>
          <t xml:space="preserve">     Độ dài, Outline, CTA, Kênh (dropdown), Ngày đăng (chọn ngày — cột 'Tuần (auto)' và 'Deadline' tự tính),</t>
        </is>
      </c>
    </row>
    <row r="10">
      <c r="A10" s="2" t="inlineStr">
        <is>
          <t xml:space="preserve">     Người phụ trách, Trạng thái (dropdown), KPI dự kiến. Content Calendar sẽ tự hiển thị ngay khi Excel tính lại.</t>
        </is>
      </c>
    </row>
    <row r="11">
      <c r="A11" s="2" t="inlineStr">
        <is>
          <t xml:space="preserve">   - Cách thêm nội dung bằng script (khi cần tạo lại file từ đầu với dữ liệu khác): điền dữ liệu vào</t>
        </is>
      </c>
    </row>
    <row r="12">
      <c r="A12" s="2" t="inlineStr">
        <is>
          <t xml:space="preserve">     PILLAR_DATA_RAW ở đầu file generate-content-calendar.py theo đúng khóa từng Pillar, rồi chạy lại script —</t>
        </is>
      </c>
    </row>
    <row r="13">
      <c r="A13" s="2" t="inlineStr">
        <is>
          <t xml:space="preserve">     ngày đăng và vị trí buffer sẽ được TỰ ĐỘNG tính toán và phân bổ xen kẽ (xem mục 5).</t>
        </is>
      </c>
    </row>
    <row r="14">
      <c r="A14" s="2" t="inlineStr"/>
    </row>
    <row r="15">
      <c r="A15" s="3" t="inlineStr">
        <is>
          <t>1. KIẾN TRÚC TEMPLATE (vì sao tái sử dụng được cho ngành khác):</t>
        </is>
      </c>
    </row>
    <row r="16">
      <c r="A16" s="2" t="inlineStr">
        <is>
          <t xml:space="preserve">   - Sheet 'Config': toàn bộ thông tin đặc thù (brand, persona, năm/tháng, danh sách Pillar, kênh, trạng thái,</t>
        </is>
      </c>
    </row>
    <row r="17">
      <c r="A17" s="2" t="inlineStr">
        <is>
          <t xml:space="preserve">     baseline tỷ lệ 3H, % buffer newsjacking) được tách riêng khỏi logic. Các sheet khác THAM CHIẾU vào Config</t>
        </is>
      </c>
    </row>
    <row r="18">
      <c r="A18" s="2" t="inlineStr">
        <is>
          <t xml:space="preserve">     bằng công thức (=Config!$B$5, =Config!$B$11...) nên đổi Config sẽ tự cập nhật tiêu đề/công thức liên quan.</t>
        </is>
      </c>
    </row>
    <row r="19">
      <c r="A19" s="2" t="inlineStr">
        <is>
          <t xml:space="preserve">   - Muốn áp dụng cho ngành khác (ví dụ mỹ phẩm, giáo dục, B2B SaaS...): mở file script generate-content-calendar.py,</t>
        </is>
      </c>
    </row>
    <row r="20">
      <c r="A20" s="2" t="inlineStr">
        <is>
          <t xml:space="preserve">     sửa khối CONFIG và danh sách PILLARS ở đầu file (tên brand, persona, tên/màu Pillar), điền dữ liệu vào</t>
        </is>
      </c>
    </row>
    <row r="21">
      <c r="A21" s="2" t="inlineStr">
        <is>
          <t xml:space="preserve">     PILLAR_DATA_RAW theo nội dung cluster của ngành mới, rồi chạy lại script — toàn bộ sheet/công thức tự sinh lại đúng cấu trúc.</t>
        </is>
      </c>
    </row>
    <row r="22">
      <c r="A22" s="2" t="inlineStr">
        <is>
          <t xml:space="preserve">   - Nếu chỉ cần sửa nội dung/ngày đăng (không đổi cấu trúc Pillar) thì KHÔNG cần chạy lại script — sửa trực tiếp</t>
        </is>
      </c>
    </row>
    <row r="23">
      <c r="A23" s="2" t="inlineStr">
        <is>
          <t xml:space="preserve">     trong Excel ở các sheet Pillar là đủ (xem mục 3 dưới).</t>
        </is>
      </c>
    </row>
    <row r="24">
      <c r="A24" s="2" t="inlineStr"/>
    </row>
    <row r="25">
      <c r="A25" s="4" t="inlineStr">
        <is>
          <t>2. Sheet 'Content Calendar': Lưới theo TUẦN (hàng) x THỨ TRONG TUẦN (cột: Thứ 2 -&gt; CN).</t>
        </is>
      </c>
    </row>
    <row r="26">
      <c r="A26" s="2" t="inlineStr">
        <is>
          <t xml:space="preserve">   - Mỗi ô nội dung là CÔNG THỨC TEXTJOIN + IF (không phải giá trị tĩnh) quét toàn bộ sheet Pillar + Tuần Buffer</t>
        </is>
      </c>
    </row>
    <row r="27">
      <c r="A27" s="2" t="inlineStr">
        <is>
          <t xml:space="preserve">     để tìm cluster có 'Ngày đăng' khớp đúng ngày đó. Công thức chỉ dùng TEXTJOIN/IF (Excel 2016/2019+),</t>
        </is>
      </c>
    </row>
    <row r="28">
      <c r="A28" s="2" t="inlineStr">
        <is>
          <t xml:space="preserve">     KHÔNG dùng FILTER/XLOOKUP (chỉ có ở Excel 365) để đảm bảo tương thích các phiên bản Excel cũ hơn.</t>
        </is>
      </c>
    </row>
    <row r="29">
      <c r="A29" s="2" t="inlineStr">
        <is>
          <t xml:space="preserve">   - Mỗi ô hiển thị nội dung là công thức NỐI CHUỖI đơn giản (=TRIM(helper1&amp;helper2&amp;...)), tham chiếu tới các</t>
        </is>
      </c>
    </row>
    <row r="30">
      <c r="A30" s="2" t="inlineStr">
        <is>
          <t xml:space="preserve">     'ô helper' ẩn phía bên phải lưới — mỗi helper là 1 công thức TEXTJOIN+IF riêng cho TỪNG sheet Pillar</t>
        </is>
      </c>
    </row>
    <row r="31">
      <c r="A31" s="2" t="inlineStr">
        <is>
          <t xml:space="preserve">     (giữ mỗi công thức ngắn, dễ kiểm tra, tương thích tối đa). KHÔNG xóa vùng cột ẩn này (đã Hide) vì Calendar phụ thuộc vào đó.</t>
        </is>
      </c>
    </row>
    <row r="32">
      <c r="A32" s="2" t="inlineStr">
        <is>
          <t xml:space="preserve">   - Click vào ô nội dung để nhảy tới dòng chi tiết trong sheet Pillar tương ứng (hyperlink gợi ý, không phải nội dung động).</t>
        </is>
      </c>
    </row>
    <row r="33">
      <c r="A33" s="2" t="inlineStr"/>
    </row>
    <row r="34">
      <c r="A34" s="3" t="inlineStr">
        <is>
          <t>3. LIÊN KẾT ĐỘNG CALENDAR &lt;-&gt; PILLAR (quan trọng nhất):</t>
        </is>
      </c>
    </row>
    <row r="35">
      <c r="A35" s="2" t="inlineStr">
        <is>
          <t xml:space="preserve">   - Sheet Pillar là NGUỒN DỮ LIỆU DUY NHẤT. Cột 'Ngày đăng' (L) là ô nhập trực tiếp — sửa ngày, tên bài, loại 3H,</t>
        </is>
      </c>
    </row>
    <row r="36">
      <c r="A36" s="2" t="inlineStr">
        <is>
          <t xml:space="preserve">     trạng thái... ngay trong sheet Pillar, sheet Content Calendar và Dashboard SẼ TỰ TÍNH LẠI ngay lập tức (Excel tự</t>
        </is>
      </c>
    </row>
    <row r="37">
      <c r="A37" s="2" t="inlineStr">
        <is>
          <t xml:space="preserve">     recalculate công thức) — không cần chạy lại script Python.</t>
        </is>
      </c>
    </row>
    <row r="38">
      <c r="A38" s="2" t="inlineStr">
        <is>
          <t xml:space="preserve">   - XÓA một dòng cluster (hoặc xóa nội dung ô 'Tên bài/Chủ đề') sẽ khiến ô Calendar tương ứng ngày đó tự trống lại.</t>
        </is>
      </c>
    </row>
    <row r="39">
      <c r="A39" s="2" t="inlineStr">
        <is>
          <t xml:space="preserve">   - THÊM cluster mới: điền vào một dòng còn trống trong phạm vi đã kẻ sẵn của sheet Pillar (mỗi sheet dự trù</t>
        </is>
      </c>
    </row>
    <row r="40">
      <c r="A40" s="2" t="inlineStr">
        <is>
          <t xml:space="preserve">     100 dòng, dòng dữ liệu từ hàng 5 đến 104), điền Ngày đăng — Calendar tự nhận diện,</t>
        </is>
      </c>
    </row>
    <row r="41">
      <c r="A41" s="2" t="inlineStr">
        <is>
          <t xml:space="preserve">     KHÔNG cần sửa công thức. Nếu cần nhiều hơn số dòng dự trù, phải mở lại script, tăng MAX_ROWS_PER_PILLAR và chạy lại.</t>
        </is>
      </c>
    </row>
    <row r="42">
      <c r="A42" s="2" t="inlineStr">
        <is>
          <t xml:space="preserve">   - Cột 'Tuần (auto)' (M) là công thức tự tính tuần lịch từ Ngày đăng + ngày đầu tháng ở Config — không nhập tay.</t>
        </is>
      </c>
    </row>
    <row r="43">
      <c r="A43" s="2" t="inlineStr">
        <is>
          <t xml:space="preserve">   - Cột 'Ngày đăng' (L) hiển thị và cần nhập theo dd/mm/yyyy (đã đặt number format + Data Validation kiểu Date với</t>
        </is>
      </c>
    </row>
    <row r="44">
      <c r="A44" s="2" t="inlineStr">
        <is>
          <t xml:space="preserve">     gợi ý khi click vào ô). Excel diễn giải chuỗi ngày bạn gõ tay dựa theo locale hệ thống máy — nếu máy đang đặt</t>
        </is>
      </c>
    </row>
    <row r="45">
      <c r="A45" s="2" t="inlineStr">
        <is>
          <t xml:space="preserve">     locale tiếng Anh (US), gõ '25/12/2026' có thể bị hiểu nhầm. Cách an toàn nhất: click vào ô và dùng lịch chọn</t>
        </is>
      </c>
    </row>
    <row r="46">
      <c r="A46" s="2" t="inlineStr">
        <is>
          <t xml:space="preserve">     ngày (date picker) của Excel thay vì gõ tay, hoặc gõ theo thứ tự năm-tháng-ngày (2026-12-25) để tránh nhầm lẫn.</t>
        </is>
      </c>
    </row>
    <row r="47">
      <c r="A47" s="2" t="inlineStr"/>
    </row>
    <row r="48">
      <c r="A48" s="3" t="inlineStr">
        <is>
          <t>4. Sheet 'Tuan Buffer' và nguyên tắc xử lý TUẦN DƯ:</t>
        </is>
      </c>
    </row>
    <row r="49">
      <c r="A49" s="2" t="inlineStr">
        <is>
          <t xml:space="preserve">   - Nếu số tuần lịch trong tháng NHIỀU HƠN số Content Pillar, các tuần dư (luôn ở cuối tháng) KHÔNG bị gán quay</t>
        </is>
      </c>
    </row>
    <row r="50">
      <c r="A50" s="2" t="inlineStr">
        <is>
          <t xml:space="preserve">     lại Pillar 1 (tránh làm Pillar 1 bị trải ra 2 tuần cách xa nhau trong tháng, gây mất tập trung chủ đề tuần).</t>
        </is>
      </c>
    </row>
    <row r="51">
      <c r="A51" s="2" t="inlineStr">
        <is>
          <t xml:space="preserve">   - Thay vào đó, các tuần dư trở thành 'Tuần Buffer' — sheet riêng dùng để chèn nội dung newsjacking phát sinh</t>
        </is>
      </c>
    </row>
    <row r="52">
      <c r="A52" s="2" t="inlineStr">
        <is>
          <t xml:space="preserve">     hoặc tổng hợp bài xen ngang từ nhiều Pillar khi cần. Ô Calendar của tuần buffer hiển thị màu xám nếu chưa có nội dung.</t>
        </is>
      </c>
    </row>
    <row r="53">
      <c r="A53" s="2" t="inlineStr"/>
    </row>
    <row r="54">
      <c r="A54" s="3" t="inlineStr">
        <is>
          <t>5. Buffer newsjacking XEN KẼ trong tuần (mục 2.5 tài liệu Module 2 — 'chừa buffer là yêu cầu bắt buộc'):</t>
        </is>
      </c>
    </row>
    <row r="55">
      <c r="A55" s="2" t="inlineStr">
        <is>
          <t xml:space="preserve">   - Khi phân bổ ngày đăng cho từng Pillar (chạy script), thuật toán CHỌN VỊ TRÍ BUFFER TRƯỚC bằng cách</t>
        </is>
      </c>
    </row>
    <row r="56">
      <c r="A56" s="2" t="inlineStr">
        <is>
          <t xml:space="preserve">     trải đều 12% số ngày trong tuần theo bước nhảy cố định (hàm pick_evenly_spaced) — nên ngày buffer</t>
        </is>
      </c>
    </row>
    <row r="57">
      <c r="A57" s="2" t="inlineStr">
        <is>
          <t xml:space="preserve">     xen kẽ rải rác giữa tuần (đầu/giữa/cuối), KHÔNG dồn cố định vào cuối tuần như cách làm cũ. Nhờ vậy buffer có thể</t>
        </is>
      </c>
    </row>
    <row r="58">
      <c r="A58" s="2" t="inlineStr">
        <is>
          <t xml:space="preserve">     dùng phản ứng với sự kiện thời sự phát sinh bất kỳ ngày nào trong tuần, không chỉ cuối tuần.</t>
        </is>
      </c>
    </row>
    <row r="59">
      <c r="A59" s="2" t="inlineStr">
        <is>
          <t xml:space="preserve">   - Các cluster (khi được điền) sau đó lấp vào đúng những ngày CÒN LẠI (không phải ngày buffer), cũng được trải</t>
        </is>
      </c>
    </row>
    <row r="60">
      <c r="A60" s="2" t="inlineStr">
        <is>
          <t xml:space="preserve">     đều bằng thuật toán tương tự để tránh dồn cụm liên tiếp.</t>
        </is>
      </c>
    </row>
    <row r="61">
      <c r="A61" s="2" t="inlineStr">
        <is>
          <t xml:space="preserve">   - Có thể chỉnh tỷ lệ buffer ở CONFIG['buffer_pct'] trong script (khung đề xuất 10-15%).</t>
        </is>
      </c>
    </row>
    <row r="62">
      <c r="A62" s="2" t="inlineStr"/>
    </row>
    <row r="63">
      <c r="A63" s="4" t="inlineStr">
        <is>
          <t>6. Sheet 'Dashboard Can Bang':</t>
        </is>
      </c>
    </row>
    <row r="64">
      <c r="A64" s="2" t="inlineStr">
        <is>
          <t xml:space="preserve">   - Bảng 1: đếm số cluster mỗi Tuần bằng COUNTIFS tham chiếu trực tiếp cột 'Tuần (auto)' của sheet Pillar tương ứng</t>
        </is>
      </c>
    </row>
    <row r="65">
      <c r="A65" s="2" t="inlineStr">
        <is>
          <t xml:space="preserve">     -&gt; tự cập nhật khi sửa/thêm/xóa dòng, đối chiếu ngưỡng tối thiểu 3 bài/tuần (trừ tuần buffer).</t>
        </is>
      </c>
    </row>
    <row r="66">
      <c r="A66" s="2" t="inlineStr">
        <is>
          <t xml:space="preserve">   - Bảng 2: tỷ lệ % Hero/Hub/Hygiene toàn tháng bằng COUNTIF trên TẤT CẢ sheet Pillar + Buffer, có cột 'Đánh giá'</t>
        </is>
      </c>
    </row>
    <row r="67">
      <c r="A67" s="2" t="inlineStr">
        <is>
          <t xml:space="preserve">     tự so sánh với baseline lấy từ CONFIG['h3_baseline'] (Hero 5-10%, Hub 40-50%, Hygiene 40-55%) và báo</t>
        </is>
      </c>
    </row>
    <row r="68">
      <c r="A68" s="2" t="inlineStr">
        <is>
          <t xml:space="preserve">     '✓ Đạt baseline' / '✗ Thấp hơn baseline' / '✗ Cao hơn baseline' tương ứng.</t>
        </is>
      </c>
    </row>
    <row r="69">
      <c r="A69" s="2" t="inlineStr">
        <is>
          <t xml:space="preserve">   - File chưa có dữ liệu cluster nên Bảng 1 sẽ hiện 0 và Bảng 2 sẽ hiện 0.0% ở mọi dòng — đây là kết quả ĐÚNG cho</t>
        </is>
      </c>
    </row>
    <row r="70">
      <c r="A70" s="2" t="inlineStr">
        <is>
          <t xml:space="preserve">     một template trống, không phải lỗi. Dashboard sẽ tự cập nhật khi bạn điền dữ liệu vào các sheet Pillar.</t>
        </is>
      </c>
    </row>
    <row r="71">
      <c r="A71" s="2" t="inlineStr"/>
    </row>
    <row r="72">
      <c r="A72" s="4" t="inlineStr">
        <is>
          <t>7. Nguồn tham chiếu chiến lược: Module 2 - Chiến lược Nội dung (calendar-3H.md) - Content Pillar, Topic Cluster,</t>
        </is>
      </c>
    </row>
    <row r="73">
      <c r="A73" s="2" t="inlineStr">
        <is>
          <t xml:space="preserve">   Mô hình 3H (Hero-Hub-Hygiene), Content Calendar, Content Brief. Cấu trúc cột Pillar/Content Brief trong file này</t>
        </is>
      </c>
    </row>
    <row r="74">
      <c r="A74" s="2" t="inlineStr">
        <is>
          <t xml:space="preserve">   được xây dựng theo đúng khung lý thuyết ở tài liệu Module 2 — điền tên Pillar, brand, persona thật vào</t>
        </is>
      </c>
    </row>
    <row r="75">
      <c r="A75" s="2" t="inlineStr">
        <is>
          <t xml:space="preserve">   CONFIG/PILLARS trong script (hoặc trực tiếp trong sheet Config/Pillar) khi áp dụng cho thương hiệu cụ thể.</t>
        </is>
      </c>
    </row>
    <row r="76">
      <c r="A76" s="2" t="inlineStr"/>
    </row>
    <row r="77">
      <c r="A77" s="3" t="inlineStr">
        <is>
          <t>8. VÍ DỤ MINH HỌA 1 CONTENT CLUSTER ĐẦY ĐỦ (chỉ mang tính hướng dẫn — KHÔNG phải dữ liệu thật trong sheet Pillar):</t>
        </is>
      </c>
    </row>
    <row r="78">
      <c r="A78" s="2" t="inlineStr">
        <is>
          <t xml:space="preserve">   Bảng dưới đây minh họa cách điền đầy đủ 17 trường của MỘT dòng cluster trong sheet Pillar, giúp hình dung rõ</t>
        </is>
      </c>
    </row>
    <row r="79">
      <c r="A79" s="2" t="inlineStr">
        <is>
          <t xml:space="preserve">   ý nghĩa từng cột trước khi tự điền dữ liệu thật. Xem bảng ở các dòng ngay dưới đây.</t>
        </is>
      </c>
    </row>
    <row r="80">
      <c r="A80" s="5" t="inlineStr">
        <is>
          <t>Bảng ví dụ (17 trường của 1 dòng cluster mẫu):</t>
        </is>
      </c>
    </row>
    <row r="81">
      <c r="A81" s="6" t="inlineStr">
        <is>
          <t>Trường (cột trong sheet Pillar)</t>
        </is>
      </c>
      <c r="B81" s="6" t="inlineStr">
        <is>
          <t>Giá trị ví dụ minh họa</t>
        </is>
      </c>
      <c r="C81" s="6" t="inlineStr">
        <is>
          <t>Giải thích</t>
        </is>
      </c>
    </row>
    <row r="82">
      <c r="A82" s="7" t="inlineStr">
        <is>
          <t>Mã Cluster</t>
        </is>
      </c>
      <c r="B82" s="8" t="inlineStr">
        <is>
          <t>P1-01</t>
        </is>
      </c>
      <c r="C82" s="9" t="inlineStr">
        <is>
          <t>Mã tự đặt để dễ tra cứu, gợi ý: &lt;tên Pillar&gt;-&lt;số thứ tự&gt;.</t>
        </is>
      </c>
    </row>
    <row r="83">
      <c r="A83" s="10" t="inlineStr">
        <is>
          <t>Tên bài/Chủ đề</t>
        </is>
      </c>
      <c r="B83" s="11" t="inlineStr">
        <is>
          <t>5 dấu hiệu nhận biết [sản phẩm] không đạt chuẩn chất lượng</t>
        </is>
      </c>
      <c r="C83" s="12" t="inlineStr">
        <is>
          <t>Tên bài viết/nội dung cụ thể, nên chứa từ khóa chính.</t>
        </is>
      </c>
    </row>
    <row r="84">
      <c r="A84" s="7" t="inlineStr">
        <is>
          <t>Loại 3H</t>
        </is>
      </c>
      <c r="B84" s="8" t="inlineStr">
        <is>
          <t>Hygiene</t>
        </is>
      </c>
      <c r="C84" s="9" t="inlineStr">
        <is>
          <t>Chọn 1 trong 3: Hero (hiếm, đầu tư cao) / Hub (định kỳ) / Hygiene (liên tục, SEO).</t>
        </is>
      </c>
    </row>
    <row r="85">
      <c r="A85" s="10" t="inlineStr">
        <is>
          <t>Mục tiêu phễu</t>
        </is>
      </c>
      <c r="B85" s="11" t="inlineStr">
        <is>
          <t>TOFU</t>
        </is>
      </c>
      <c r="C85" s="12" t="inlineStr">
        <is>
          <t>TOFU (nhận biết) / MOFU (cân nhắc) / BOFU (quyết định mua).</t>
        </is>
      </c>
    </row>
    <row r="86">
      <c r="A86" s="7" t="inlineStr">
        <is>
          <t>Persona mục tiêu</t>
        </is>
      </c>
      <c r="B86" s="8" t="inlineStr">
        <is>
          <t>[Điền persona chính đã xây dựng ở Module 2]</t>
        </is>
      </c>
      <c r="C86" s="9" t="inlineStr">
        <is>
          <t>Đối tượng cụ thể bài viết hướng tới.</t>
        </is>
      </c>
    </row>
    <row r="87">
      <c r="A87" s="10" t="inlineStr">
        <is>
          <t>Từ khóa chính</t>
        </is>
      </c>
      <c r="B87" s="11" t="inlineStr">
        <is>
          <t>cách nhận biết [sản phẩm] kém chất lượng, mẹo chọn [sản phẩm]</t>
        </is>
      </c>
      <c r="C87" s="12" t="inlineStr">
        <is>
          <t>Từ khóa SEO chính + 1-2 từ khóa dài liên quan.</t>
        </is>
      </c>
    </row>
    <row r="88">
      <c r="A88" s="7" t="inlineStr">
        <is>
          <t>Tone giọng điệu</t>
        </is>
      </c>
      <c r="B88" s="8" t="inlineStr">
        <is>
          <t>Gần gũi, đáng tin cậy, có dẫn chứng cụ thể</t>
        </is>
      </c>
      <c r="C88" s="9" t="inlineStr">
        <is>
          <t>Văn phong khi viết, khớp với Brand Voice đã định nghĩa.</t>
        </is>
      </c>
    </row>
    <row r="89">
      <c r="A89" s="10" t="inlineStr">
        <is>
          <t>Độ dài mong muốn</t>
        </is>
      </c>
      <c r="B89" s="11" t="inlineStr">
        <is>
          <t>600-800 từ</t>
        </is>
      </c>
      <c r="C89" s="12" t="inlineStr">
        <is>
          <t>Ước lượng độ dài bài viết hoặc thời lượng video.</t>
        </is>
      </c>
    </row>
    <row r="90">
      <c r="A90" s="7" t="inlineStr">
        <is>
          <t>Outline/Dàn ý chính</t>
        </is>
      </c>
      <c r="B90" s="8" t="inlineStr">
        <is>
          <t>Hook mở bài -&gt; 5 dấu hiệu nhận biết (mỗi dấu hiệu 1 đoạn) -&gt; Lời khuyên/CTA</t>
        </is>
      </c>
      <c r="C90" s="9" t="inlineStr">
        <is>
          <t>Dàn ý ngắn gọn để người viết bám theo, tránh lệch trọng tâm.</t>
        </is>
      </c>
    </row>
    <row r="91">
      <c r="A91" s="10" t="inlineStr">
        <is>
          <t>CTA mong muốn</t>
        </is>
      </c>
      <c r="B91" s="11" t="inlineStr">
        <is>
          <t>Lưu bài để tham khảo khi mua hàng lần tới</t>
        </is>
      </c>
      <c r="C91" s="12" t="inlineStr">
        <is>
          <t>Hành động cụ thể muốn người đọc thực hiện.</t>
        </is>
      </c>
    </row>
    <row r="92">
      <c r="A92" s="7" t="inlineStr">
        <is>
          <t>Kênh đăng</t>
        </is>
      </c>
      <c r="B92" s="8" t="inlineStr">
        <is>
          <t>Facebook</t>
        </is>
      </c>
      <c r="C92" s="9" t="inlineStr">
        <is>
          <t>Chọn từ dropdown: Facebook/Zalo OA/Website/TikTok/Email (tùy Config).</t>
        </is>
      </c>
    </row>
    <row r="93">
      <c r="A93" s="10" t="inlineStr">
        <is>
          <t>Ngày đăng</t>
        </is>
      </c>
      <c r="B93" s="11" t="inlineStr">
        <is>
          <t>01/09/2026</t>
        </is>
      </c>
      <c r="C93" s="12" t="inlineStr">
        <is>
          <t>Chọn ngày cụ thể — cột Tuần (auto) và Deadline sẽ tự tính theo ngày này.</t>
        </is>
      </c>
    </row>
    <row r="94">
      <c r="A94" s="7" t="inlineStr">
        <is>
          <t>Tuần (auto)</t>
        </is>
      </c>
      <c r="B94" s="8" t="inlineStr">
        <is>
          <t>1 (tự động)</t>
        </is>
      </c>
      <c r="C94" s="9" t="inlineStr">
        <is>
          <t>KHÔNG nhập tay — công thức tự tính tuần lịch chứa Ngày đăng.</t>
        </is>
      </c>
    </row>
    <row r="95">
      <c r="A95" s="10" t="inlineStr">
        <is>
          <t>Deadline</t>
        </is>
      </c>
      <c r="B95" s="11" t="inlineStr">
        <is>
          <t>30/08/2026 (tự động)</t>
        </is>
      </c>
      <c r="C95" s="12" t="inlineStr">
        <is>
          <t>KHÔNG nhập tay — mặc định = Ngày đăng trừ 2 ngày để có thời gian duyệt.</t>
        </is>
      </c>
    </row>
    <row r="96">
      <c r="A96" s="7" t="inlineStr">
        <is>
          <t>Người phụ trách</t>
        </is>
      </c>
      <c r="B96" s="8" t="inlineStr">
        <is>
          <t>Writer A</t>
        </is>
      </c>
      <c r="C96" s="9" t="inlineStr">
        <is>
          <t>Người chịu trách nhiệm sản xuất nội dung này.</t>
        </is>
      </c>
    </row>
    <row r="97">
      <c r="A97" s="10" t="inlineStr">
        <is>
          <t>Trạng thái</t>
        </is>
      </c>
      <c r="B97" s="11" t="inlineStr">
        <is>
          <t>Draft</t>
        </is>
      </c>
      <c r="C97" s="12" t="inlineStr">
        <is>
          <t>Draft/Review/Approved/Published — đổi màu tự động theo trạng thái.</t>
        </is>
      </c>
    </row>
    <row r="98">
      <c r="A98" s="7" t="inlineStr">
        <is>
          <t>KPI dự kiến</t>
        </is>
      </c>
      <c r="B98" s="8" t="inlineStr">
        <is>
          <t>Organic traffic; Time on page &gt; 1'30"</t>
        </is>
      </c>
      <c r="C98" s="9" t="inlineStr">
        <is>
          <t>Chỉ số đo hiệu quả, nên khác nhau theo từng loại 3H (xem mục 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20"/>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2" customWidth="1" min="1" max="1"/>
    <col width="20" customWidth="1" min="2" max="2"/>
    <col width="20" customWidth="1" min="3" max="3"/>
    <col width="20" customWidth="1" min="4" max="4"/>
    <col width="20" customWidth="1" min="5" max="5"/>
    <col width="20" customWidth="1" min="6" max="6"/>
    <col width="20" customWidth="1" min="7" max="7"/>
    <col width="20" customWidth="1" min="8" max="8"/>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s>
  <sheetData>
    <row r="1" ht="30" customHeight="1">
      <c r="A1" s="13">
        <f>"CONTENT CALENDAR THÁNG "&amp;Config!$B$8&amp;"/"&amp;Config!$B$7&amp;" — "&amp;Config!$B$5&amp;" (liên kết động với sheet Pillar)"</f>
        <v/>
      </c>
    </row>
    <row r="2" ht="22" customHeight="1">
      <c r="A2" s="14" t="inlineStr">
        <is>
          <t>Tuần / Pillar</t>
        </is>
      </c>
      <c r="B2" s="15" t="inlineStr">
        <is>
          <t>Thứ 2</t>
        </is>
      </c>
      <c r="C2" s="15" t="inlineStr">
        <is>
          <t>Thứ 3</t>
        </is>
      </c>
      <c r="D2" s="15" t="inlineStr">
        <is>
          <t>Thứ 4</t>
        </is>
      </c>
      <c r="E2" s="15" t="inlineStr">
        <is>
          <t>Thứ 5</t>
        </is>
      </c>
      <c r="F2" s="15" t="inlineStr">
        <is>
          <t>Thứ 6</t>
        </is>
      </c>
      <c r="G2" s="15" t="inlineStr">
        <is>
          <t>Thứ 7</t>
        </is>
      </c>
      <c r="H2" s="16" t="inlineStr">
        <is>
          <t>CN</t>
        </is>
      </c>
    </row>
    <row r="3" ht="16" customHeight="1">
      <c r="A3" s="17" t="inlineStr">
        <is>
          <t>TUẦN 1
P1: [Điền tên chủ đề Pillar 1]</t>
        </is>
      </c>
      <c r="B3" s="18" t="n"/>
      <c r="C3" s="19" t="n">
        <v>1</v>
      </c>
      <c r="D3" s="19" t="n">
        <v>2</v>
      </c>
      <c r="E3" s="19" t="n">
        <v>3</v>
      </c>
      <c r="F3" s="19" t="n">
        <v>4</v>
      </c>
      <c r="G3" s="19" t="n">
        <v>5</v>
      </c>
      <c r="H3" s="19" t="n">
        <v>6</v>
      </c>
      <c r="S3" s="20" t="n">
        <v>46266</v>
      </c>
      <c r="AA3" s="20" t="n">
        <v>46267</v>
      </c>
      <c r="AI3" s="20" t="n">
        <v>46268</v>
      </c>
      <c r="AQ3" s="20" t="n">
        <v>46269</v>
      </c>
      <c r="AY3" s="20" t="n">
        <v>46270</v>
      </c>
      <c r="BG3" s="20" t="n">
        <v>46271</v>
      </c>
    </row>
    <row r="4" ht="62" customHeight="1">
      <c r="B4" s="18" t="n"/>
      <c r="C4" s="21">
        <f>IF($Y$4="",TRIM($T$4&amp;$U$4&amp;$V$4&amp;$W$4&amp;$X$4),HYPERLINK("#"&amp;$Z$4,TRIM($T$4&amp;$U$4&amp;$V$4&amp;$W$4&amp;$X$4)))</f>
        <v/>
      </c>
      <c r="D4" s="21">
        <f>IF($AG$4="",TRIM($AB$4&amp;$AC$4&amp;$AD$4&amp;$AE$4&amp;$AF$4),HYPERLINK("#"&amp;$AH$4,TRIM($AB$4&amp;$AC$4&amp;$AD$4&amp;$AE$4&amp;$AF$4)))</f>
        <v/>
      </c>
      <c r="E4" s="21">
        <f>IF($AO$4="",TRIM($AJ$4&amp;$AK$4&amp;$AL$4&amp;$AM$4&amp;$AN$4),HYPERLINK("#"&amp;$AP$4,TRIM($AJ$4&amp;$AK$4&amp;$AL$4&amp;$AM$4&amp;$AN$4)))</f>
        <v/>
      </c>
      <c r="F4" s="21">
        <f>IF($AW$4="",TRIM($AR$4&amp;$AS$4&amp;$AT$4&amp;$AU$4&amp;$AV$4),HYPERLINK("#"&amp;$AX$4,TRIM($AR$4&amp;$AS$4&amp;$AT$4&amp;$AU$4&amp;$AV$4)))</f>
        <v/>
      </c>
      <c r="G4" s="21">
        <f>IF($BE$4="",TRIM($AZ$4&amp;$BA$4&amp;$BB$4&amp;$BC$4&amp;$BD$4),HYPERLINK("#"&amp;$BF$4,TRIM($AZ$4&amp;$BA$4&amp;$BB$4&amp;$BC$4&amp;$BD$4)))</f>
        <v/>
      </c>
      <c r="H4" s="21">
        <f>IF($BM$4="",TRIM($BH$4&amp;$BI$4&amp;$BJ$4&amp;$BK$4&amp;$BL$4),HYPERLINK("#"&amp;$BN$4,TRIM($BH$4&amp;$BI$4&amp;$BJ$4&amp;$BK$4&amp;$BL$4)))</f>
        <v/>
      </c>
      <c r="T4">
        <f t="array" ref="T4">_xlfn.TEXTJOIN("",TRUE,IF('Pillar 1'!$L$5:$L$104=$S$3,"["&amp;'Pillar 1'!$C$5:$C$104&amp;"] "&amp;'Pillar 1'!$B$5:$B$104&amp;CHAR(10),""))</f>
        <v/>
      </c>
      <c r="U4">
        <f t="array" ref="U4">_xlfn.TEXTJOIN("",TRUE,IF('Pillar 2'!$L$5:$L$104=$S$3,"["&amp;'Pillar 2'!$C$5:$C$104&amp;"] "&amp;'Pillar 2'!$B$5:$B$104&amp;CHAR(10),""))</f>
        <v/>
      </c>
      <c r="V4">
        <f t="array" ref="V4">_xlfn.TEXTJOIN("",TRUE,IF('Pillar 3'!$L$5:$L$104=$S$3,"["&amp;'Pillar 3'!$C$5:$C$104&amp;"] "&amp;'Pillar 3'!$B$5:$B$104&amp;CHAR(10),""))</f>
        <v/>
      </c>
      <c r="W4">
        <f t="array" ref="W4">_xlfn.TEXTJOIN("",TRUE,IF('Pillar 4'!$L$5:$L$104=$S$3,"["&amp;'Pillar 4'!$C$5:$C$104&amp;"] "&amp;'Pillar 4'!$B$5:$B$104&amp;CHAR(10),""))</f>
        <v/>
      </c>
      <c r="X4">
        <f t="array" ref="X4">_xlfn.TEXTJOIN("",TRUE,IF('Tuan Buffer'!$L$5:$L$104=$S$3,"["&amp;'Tuan Buffer'!$C$5:$C$104&amp;"] "&amp;'Tuan Buffer'!$B$5:$B$104&amp;CHAR(10),""))</f>
        <v/>
      </c>
      <c r="Y4">
        <f>IF(IFERROR(INDEX('Pillar 1'!$C$5:$C$104,MATCH($S$3,'Pillar 1'!$L$5:$L$104,0)),"")&lt;&gt;"",IFERROR(INDEX('Pillar 1'!$C$5:$C$104,MATCH($S$3,'Pillar 1'!$L$5:$L$104,0)),""),IF(IFERROR(INDEX('Pillar 2'!$C$5:$C$104,MATCH($S$3,'Pillar 2'!$L$5:$L$104,0)),"")&lt;&gt;"",IFERROR(INDEX('Pillar 2'!$C$5:$C$104,MATCH($S$3,'Pillar 2'!$L$5:$L$104,0)),""),IF(IFERROR(INDEX('Pillar 3'!$C$5:$C$104,MATCH($S$3,'Pillar 3'!$L$5:$L$104,0)),"")&lt;&gt;"",IFERROR(INDEX('Pillar 3'!$C$5:$C$104,MATCH($S$3,'Pillar 3'!$L$5:$L$104,0)),""),IF(IFERROR(INDEX('Pillar 4'!$C$5:$C$104,MATCH($S$3,'Pillar 4'!$L$5:$L$104,0)),"")&lt;&gt;"",IFERROR(INDEX('Pillar 4'!$C$5:$C$104,MATCH($S$3,'Pillar 4'!$L$5:$L$104,0)),""),IFERROR(INDEX('Tuan Buffer'!$C$5:$C$104,MATCH($S$3,'Tuan Buffer'!$L$5:$L$104,0)),"")))))</f>
        <v/>
      </c>
      <c r="Z4">
        <f>IF(IFERROR(INDEX('Pillar 1'!$C$5:$C$104,MATCH($S$3,'Pillar 1'!$L$5:$L$104,0)),"")&lt;&gt;"","'Pillar 1'!A"&amp;IFERROR(MATCH($S$3,'Pillar 1'!$L$5:$L$104,0)+5-1,0),IF(IFERROR(INDEX('Pillar 2'!$C$5:$C$104,MATCH($S$3,'Pillar 2'!$L$5:$L$104,0)),"")&lt;&gt;"","'Pillar 2'!A"&amp;IFERROR(MATCH($S$3,'Pillar 2'!$L$5:$L$104,0)+5-1,0),IF(IFERROR(INDEX('Pillar 3'!$C$5:$C$104,MATCH($S$3,'Pillar 3'!$L$5:$L$104,0)),"")&lt;&gt;"","'Pillar 3'!A"&amp;IFERROR(MATCH($S$3,'Pillar 3'!$L$5:$L$104,0)+5-1,0),IF(IFERROR(INDEX('Pillar 4'!$C$5:$C$104,MATCH($S$3,'Pillar 4'!$L$5:$L$104,0)),"")&lt;&gt;"","'Pillar 4'!A"&amp;IFERROR(MATCH($S$3,'Pillar 4'!$L$5:$L$104,0)+5-1,0),"'Tuan Buffer'!A"&amp;IFERROR(MATCH($S$3,'Tuan Buffer'!$L$5:$L$104,0)+5-1,0)))))</f>
        <v/>
      </c>
      <c r="AB4">
        <f t="array" ref="AB4">_xlfn.TEXTJOIN("",TRUE,IF('Pillar 1'!$L$5:$L$104=$AA$3,"["&amp;'Pillar 1'!$C$5:$C$104&amp;"] "&amp;'Pillar 1'!$B$5:$B$104&amp;CHAR(10),""))</f>
        <v/>
      </c>
      <c r="AC4">
        <f t="array" ref="AC4">_xlfn.TEXTJOIN("",TRUE,IF('Pillar 2'!$L$5:$L$104=$AA$3,"["&amp;'Pillar 2'!$C$5:$C$104&amp;"] "&amp;'Pillar 2'!$B$5:$B$104&amp;CHAR(10),""))</f>
        <v/>
      </c>
      <c r="AD4">
        <f t="array" ref="AD4">_xlfn.TEXTJOIN("",TRUE,IF('Pillar 3'!$L$5:$L$104=$AA$3,"["&amp;'Pillar 3'!$C$5:$C$104&amp;"] "&amp;'Pillar 3'!$B$5:$B$104&amp;CHAR(10),""))</f>
        <v/>
      </c>
      <c r="AE4">
        <f t="array" ref="AE4">_xlfn.TEXTJOIN("",TRUE,IF('Pillar 4'!$L$5:$L$104=$AA$3,"["&amp;'Pillar 4'!$C$5:$C$104&amp;"] "&amp;'Pillar 4'!$B$5:$B$104&amp;CHAR(10),""))</f>
        <v/>
      </c>
      <c r="AF4">
        <f t="array" ref="AF4">_xlfn.TEXTJOIN("",TRUE,IF('Tuan Buffer'!$L$5:$L$104=$AA$3,"["&amp;'Tuan Buffer'!$C$5:$C$104&amp;"] "&amp;'Tuan Buffer'!$B$5:$B$104&amp;CHAR(10),""))</f>
        <v/>
      </c>
      <c r="AG4">
        <f>IF(IFERROR(INDEX('Pillar 1'!$C$5:$C$104,MATCH($AA$3,'Pillar 1'!$L$5:$L$104,0)),"")&lt;&gt;"",IFERROR(INDEX('Pillar 1'!$C$5:$C$104,MATCH($AA$3,'Pillar 1'!$L$5:$L$104,0)),""),IF(IFERROR(INDEX('Pillar 2'!$C$5:$C$104,MATCH($AA$3,'Pillar 2'!$L$5:$L$104,0)),"")&lt;&gt;"",IFERROR(INDEX('Pillar 2'!$C$5:$C$104,MATCH($AA$3,'Pillar 2'!$L$5:$L$104,0)),""),IF(IFERROR(INDEX('Pillar 3'!$C$5:$C$104,MATCH($AA$3,'Pillar 3'!$L$5:$L$104,0)),"")&lt;&gt;"",IFERROR(INDEX('Pillar 3'!$C$5:$C$104,MATCH($AA$3,'Pillar 3'!$L$5:$L$104,0)),""),IF(IFERROR(INDEX('Pillar 4'!$C$5:$C$104,MATCH($AA$3,'Pillar 4'!$L$5:$L$104,0)),"")&lt;&gt;"",IFERROR(INDEX('Pillar 4'!$C$5:$C$104,MATCH($AA$3,'Pillar 4'!$L$5:$L$104,0)),""),IFERROR(INDEX('Tuan Buffer'!$C$5:$C$104,MATCH($AA$3,'Tuan Buffer'!$L$5:$L$104,0)),"")))))</f>
        <v/>
      </c>
      <c r="AH4">
        <f>IF(IFERROR(INDEX('Pillar 1'!$C$5:$C$104,MATCH($AA$3,'Pillar 1'!$L$5:$L$104,0)),"")&lt;&gt;"","'Pillar 1'!A"&amp;IFERROR(MATCH($AA$3,'Pillar 1'!$L$5:$L$104,0)+5-1,0),IF(IFERROR(INDEX('Pillar 2'!$C$5:$C$104,MATCH($AA$3,'Pillar 2'!$L$5:$L$104,0)),"")&lt;&gt;"","'Pillar 2'!A"&amp;IFERROR(MATCH($AA$3,'Pillar 2'!$L$5:$L$104,0)+5-1,0),IF(IFERROR(INDEX('Pillar 3'!$C$5:$C$104,MATCH($AA$3,'Pillar 3'!$L$5:$L$104,0)),"")&lt;&gt;"","'Pillar 3'!A"&amp;IFERROR(MATCH($AA$3,'Pillar 3'!$L$5:$L$104,0)+5-1,0),IF(IFERROR(INDEX('Pillar 4'!$C$5:$C$104,MATCH($AA$3,'Pillar 4'!$L$5:$L$104,0)),"")&lt;&gt;"","'Pillar 4'!A"&amp;IFERROR(MATCH($AA$3,'Pillar 4'!$L$5:$L$104,0)+5-1,0),"'Tuan Buffer'!A"&amp;IFERROR(MATCH($AA$3,'Tuan Buffer'!$L$5:$L$104,0)+5-1,0)))))</f>
        <v/>
      </c>
      <c r="AJ4">
        <f t="array" ref="AJ4">_xlfn.TEXTJOIN("",TRUE,IF('Pillar 1'!$L$5:$L$104=$AI$3,"["&amp;'Pillar 1'!$C$5:$C$104&amp;"] "&amp;'Pillar 1'!$B$5:$B$104&amp;CHAR(10),""))</f>
        <v/>
      </c>
      <c r="AK4">
        <f t="array" ref="AK4">_xlfn.TEXTJOIN("",TRUE,IF('Pillar 2'!$L$5:$L$104=$AI$3,"["&amp;'Pillar 2'!$C$5:$C$104&amp;"] "&amp;'Pillar 2'!$B$5:$B$104&amp;CHAR(10),""))</f>
        <v/>
      </c>
      <c r="AL4">
        <f t="array" ref="AL4">_xlfn.TEXTJOIN("",TRUE,IF('Pillar 3'!$L$5:$L$104=$AI$3,"["&amp;'Pillar 3'!$C$5:$C$104&amp;"] "&amp;'Pillar 3'!$B$5:$B$104&amp;CHAR(10),""))</f>
        <v/>
      </c>
      <c r="AM4">
        <f t="array" ref="AM4">_xlfn.TEXTJOIN("",TRUE,IF('Pillar 4'!$L$5:$L$104=$AI$3,"["&amp;'Pillar 4'!$C$5:$C$104&amp;"] "&amp;'Pillar 4'!$B$5:$B$104&amp;CHAR(10),""))</f>
        <v/>
      </c>
      <c r="AN4">
        <f t="array" ref="AN4">_xlfn.TEXTJOIN("",TRUE,IF('Tuan Buffer'!$L$5:$L$104=$AI$3,"["&amp;'Tuan Buffer'!$C$5:$C$104&amp;"] "&amp;'Tuan Buffer'!$B$5:$B$104&amp;CHAR(10),""))</f>
        <v/>
      </c>
      <c r="AO4">
        <f>IF(IFERROR(INDEX('Pillar 1'!$C$5:$C$104,MATCH($AI$3,'Pillar 1'!$L$5:$L$104,0)),"")&lt;&gt;"",IFERROR(INDEX('Pillar 1'!$C$5:$C$104,MATCH($AI$3,'Pillar 1'!$L$5:$L$104,0)),""),IF(IFERROR(INDEX('Pillar 2'!$C$5:$C$104,MATCH($AI$3,'Pillar 2'!$L$5:$L$104,0)),"")&lt;&gt;"",IFERROR(INDEX('Pillar 2'!$C$5:$C$104,MATCH($AI$3,'Pillar 2'!$L$5:$L$104,0)),""),IF(IFERROR(INDEX('Pillar 3'!$C$5:$C$104,MATCH($AI$3,'Pillar 3'!$L$5:$L$104,0)),"")&lt;&gt;"",IFERROR(INDEX('Pillar 3'!$C$5:$C$104,MATCH($AI$3,'Pillar 3'!$L$5:$L$104,0)),""),IF(IFERROR(INDEX('Pillar 4'!$C$5:$C$104,MATCH($AI$3,'Pillar 4'!$L$5:$L$104,0)),"")&lt;&gt;"",IFERROR(INDEX('Pillar 4'!$C$5:$C$104,MATCH($AI$3,'Pillar 4'!$L$5:$L$104,0)),""),IFERROR(INDEX('Tuan Buffer'!$C$5:$C$104,MATCH($AI$3,'Tuan Buffer'!$L$5:$L$104,0)),"")))))</f>
        <v/>
      </c>
      <c r="AP4">
        <f>IF(IFERROR(INDEX('Pillar 1'!$C$5:$C$104,MATCH($AI$3,'Pillar 1'!$L$5:$L$104,0)),"")&lt;&gt;"","'Pillar 1'!A"&amp;IFERROR(MATCH($AI$3,'Pillar 1'!$L$5:$L$104,0)+5-1,0),IF(IFERROR(INDEX('Pillar 2'!$C$5:$C$104,MATCH($AI$3,'Pillar 2'!$L$5:$L$104,0)),"")&lt;&gt;"","'Pillar 2'!A"&amp;IFERROR(MATCH($AI$3,'Pillar 2'!$L$5:$L$104,0)+5-1,0),IF(IFERROR(INDEX('Pillar 3'!$C$5:$C$104,MATCH($AI$3,'Pillar 3'!$L$5:$L$104,0)),"")&lt;&gt;"","'Pillar 3'!A"&amp;IFERROR(MATCH($AI$3,'Pillar 3'!$L$5:$L$104,0)+5-1,0),IF(IFERROR(INDEX('Pillar 4'!$C$5:$C$104,MATCH($AI$3,'Pillar 4'!$L$5:$L$104,0)),"")&lt;&gt;"","'Pillar 4'!A"&amp;IFERROR(MATCH($AI$3,'Pillar 4'!$L$5:$L$104,0)+5-1,0),"'Tuan Buffer'!A"&amp;IFERROR(MATCH($AI$3,'Tuan Buffer'!$L$5:$L$104,0)+5-1,0)))))</f>
        <v/>
      </c>
      <c r="AR4">
        <f t="array" ref="AR4">_xlfn.TEXTJOIN("",TRUE,IF('Pillar 1'!$L$5:$L$104=$AQ$3,"["&amp;'Pillar 1'!$C$5:$C$104&amp;"] "&amp;'Pillar 1'!$B$5:$B$104&amp;CHAR(10),""))</f>
        <v/>
      </c>
      <c r="AS4">
        <f t="array" ref="AS4">_xlfn.TEXTJOIN("",TRUE,IF('Pillar 2'!$L$5:$L$104=$AQ$3,"["&amp;'Pillar 2'!$C$5:$C$104&amp;"] "&amp;'Pillar 2'!$B$5:$B$104&amp;CHAR(10),""))</f>
        <v/>
      </c>
      <c r="AT4">
        <f t="array" ref="AT4">_xlfn.TEXTJOIN("",TRUE,IF('Pillar 3'!$L$5:$L$104=$AQ$3,"["&amp;'Pillar 3'!$C$5:$C$104&amp;"] "&amp;'Pillar 3'!$B$5:$B$104&amp;CHAR(10),""))</f>
        <v/>
      </c>
      <c r="AU4">
        <f t="array" ref="AU4">_xlfn.TEXTJOIN("",TRUE,IF('Pillar 4'!$L$5:$L$104=$AQ$3,"["&amp;'Pillar 4'!$C$5:$C$104&amp;"] "&amp;'Pillar 4'!$B$5:$B$104&amp;CHAR(10),""))</f>
        <v/>
      </c>
      <c r="AV4">
        <f t="array" ref="AV4">_xlfn.TEXTJOIN("",TRUE,IF('Tuan Buffer'!$L$5:$L$104=$AQ$3,"["&amp;'Tuan Buffer'!$C$5:$C$104&amp;"] "&amp;'Tuan Buffer'!$B$5:$B$104&amp;CHAR(10),""))</f>
        <v/>
      </c>
      <c r="AW4">
        <f>IF(IFERROR(INDEX('Pillar 1'!$C$5:$C$104,MATCH($AQ$3,'Pillar 1'!$L$5:$L$104,0)),"")&lt;&gt;"",IFERROR(INDEX('Pillar 1'!$C$5:$C$104,MATCH($AQ$3,'Pillar 1'!$L$5:$L$104,0)),""),IF(IFERROR(INDEX('Pillar 2'!$C$5:$C$104,MATCH($AQ$3,'Pillar 2'!$L$5:$L$104,0)),"")&lt;&gt;"",IFERROR(INDEX('Pillar 2'!$C$5:$C$104,MATCH($AQ$3,'Pillar 2'!$L$5:$L$104,0)),""),IF(IFERROR(INDEX('Pillar 3'!$C$5:$C$104,MATCH($AQ$3,'Pillar 3'!$L$5:$L$104,0)),"")&lt;&gt;"",IFERROR(INDEX('Pillar 3'!$C$5:$C$104,MATCH($AQ$3,'Pillar 3'!$L$5:$L$104,0)),""),IF(IFERROR(INDEX('Pillar 4'!$C$5:$C$104,MATCH($AQ$3,'Pillar 4'!$L$5:$L$104,0)),"")&lt;&gt;"",IFERROR(INDEX('Pillar 4'!$C$5:$C$104,MATCH($AQ$3,'Pillar 4'!$L$5:$L$104,0)),""),IFERROR(INDEX('Tuan Buffer'!$C$5:$C$104,MATCH($AQ$3,'Tuan Buffer'!$L$5:$L$104,0)),"")))))</f>
        <v/>
      </c>
      <c r="AX4">
        <f>IF(IFERROR(INDEX('Pillar 1'!$C$5:$C$104,MATCH($AQ$3,'Pillar 1'!$L$5:$L$104,0)),"")&lt;&gt;"","'Pillar 1'!A"&amp;IFERROR(MATCH($AQ$3,'Pillar 1'!$L$5:$L$104,0)+5-1,0),IF(IFERROR(INDEX('Pillar 2'!$C$5:$C$104,MATCH($AQ$3,'Pillar 2'!$L$5:$L$104,0)),"")&lt;&gt;"","'Pillar 2'!A"&amp;IFERROR(MATCH($AQ$3,'Pillar 2'!$L$5:$L$104,0)+5-1,0),IF(IFERROR(INDEX('Pillar 3'!$C$5:$C$104,MATCH($AQ$3,'Pillar 3'!$L$5:$L$104,0)),"")&lt;&gt;"","'Pillar 3'!A"&amp;IFERROR(MATCH($AQ$3,'Pillar 3'!$L$5:$L$104,0)+5-1,0),IF(IFERROR(INDEX('Pillar 4'!$C$5:$C$104,MATCH($AQ$3,'Pillar 4'!$L$5:$L$104,0)),"")&lt;&gt;"","'Pillar 4'!A"&amp;IFERROR(MATCH($AQ$3,'Pillar 4'!$L$5:$L$104,0)+5-1,0),"'Tuan Buffer'!A"&amp;IFERROR(MATCH($AQ$3,'Tuan Buffer'!$L$5:$L$104,0)+5-1,0)))))</f>
        <v/>
      </c>
      <c r="AZ4">
        <f t="array" ref="AZ4">_xlfn.TEXTJOIN("",TRUE,IF('Pillar 1'!$L$5:$L$104=$AY$3,"["&amp;'Pillar 1'!$C$5:$C$104&amp;"] "&amp;'Pillar 1'!$B$5:$B$104&amp;CHAR(10),""))</f>
        <v/>
      </c>
      <c r="BA4">
        <f t="array" ref="BA4">_xlfn.TEXTJOIN("",TRUE,IF('Pillar 2'!$L$5:$L$104=$AY$3,"["&amp;'Pillar 2'!$C$5:$C$104&amp;"] "&amp;'Pillar 2'!$B$5:$B$104&amp;CHAR(10),""))</f>
        <v/>
      </c>
      <c r="BB4">
        <f t="array" ref="BB4">_xlfn.TEXTJOIN("",TRUE,IF('Pillar 3'!$L$5:$L$104=$AY$3,"["&amp;'Pillar 3'!$C$5:$C$104&amp;"] "&amp;'Pillar 3'!$B$5:$B$104&amp;CHAR(10),""))</f>
        <v/>
      </c>
      <c r="BC4">
        <f t="array" ref="BC4">_xlfn.TEXTJOIN("",TRUE,IF('Pillar 4'!$L$5:$L$104=$AY$3,"["&amp;'Pillar 4'!$C$5:$C$104&amp;"] "&amp;'Pillar 4'!$B$5:$B$104&amp;CHAR(10),""))</f>
        <v/>
      </c>
      <c r="BD4">
        <f t="array" ref="BD4">_xlfn.TEXTJOIN("",TRUE,IF('Tuan Buffer'!$L$5:$L$104=$AY$3,"["&amp;'Tuan Buffer'!$C$5:$C$104&amp;"] "&amp;'Tuan Buffer'!$B$5:$B$104&amp;CHAR(10),""))</f>
        <v/>
      </c>
      <c r="BE4">
        <f>IF(IFERROR(INDEX('Pillar 1'!$C$5:$C$104,MATCH($AY$3,'Pillar 1'!$L$5:$L$104,0)),"")&lt;&gt;"",IFERROR(INDEX('Pillar 1'!$C$5:$C$104,MATCH($AY$3,'Pillar 1'!$L$5:$L$104,0)),""),IF(IFERROR(INDEX('Pillar 2'!$C$5:$C$104,MATCH($AY$3,'Pillar 2'!$L$5:$L$104,0)),"")&lt;&gt;"",IFERROR(INDEX('Pillar 2'!$C$5:$C$104,MATCH($AY$3,'Pillar 2'!$L$5:$L$104,0)),""),IF(IFERROR(INDEX('Pillar 3'!$C$5:$C$104,MATCH($AY$3,'Pillar 3'!$L$5:$L$104,0)),"")&lt;&gt;"",IFERROR(INDEX('Pillar 3'!$C$5:$C$104,MATCH($AY$3,'Pillar 3'!$L$5:$L$104,0)),""),IF(IFERROR(INDEX('Pillar 4'!$C$5:$C$104,MATCH($AY$3,'Pillar 4'!$L$5:$L$104,0)),"")&lt;&gt;"",IFERROR(INDEX('Pillar 4'!$C$5:$C$104,MATCH($AY$3,'Pillar 4'!$L$5:$L$104,0)),""),IFERROR(INDEX('Tuan Buffer'!$C$5:$C$104,MATCH($AY$3,'Tuan Buffer'!$L$5:$L$104,0)),"")))))</f>
        <v/>
      </c>
      <c r="BF4">
        <f>IF(IFERROR(INDEX('Pillar 1'!$C$5:$C$104,MATCH($AY$3,'Pillar 1'!$L$5:$L$104,0)),"")&lt;&gt;"","'Pillar 1'!A"&amp;IFERROR(MATCH($AY$3,'Pillar 1'!$L$5:$L$104,0)+5-1,0),IF(IFERROR(INDEX('Pillar 2'!$C$5:$C$104,MATCH($AY$3,'Pillar 2'!$L$5:$L$104,0)),"")&lt;&gt;"","'Pillar 2'!A"&amp;IFERROR(MATCH($AY$3,'Pillar 2'!$L$5:$L$104,0)+5-1,0),IF(IFERROR(INDEX('Pillar 3'!$C$5:$C$104,MATCH($AY$3,'Pillar 3'!$L$5:$L$104,0)),"")&lt;&gt;"","'Pillar 3'!A"&amp;IFERROR(MATCH($AY$3,'Pillar 3'!$L$5:$L$104,0)+5-1,0),IF(IFERROR(INDEX('Pillar 4'!$C$5:$C$104,MATCH($AY$3,'Pillar 4'!$L$5:$L$104,0)),"")&lt;&gt;"","'Pillar 4'!A"&amp;IFERROR(MATCH($AY$3,'Pillar 4'!$L$5:$L$104,0)+5-1,0),"'Tuan Buffer'!A"&amp;IFERROR(MATCH($AY$3,'Tuan Buffer'!$L$5:$L$104,0)+5-1,0)))))</f>
        <v/>
      </c>
      <c r="BH4">
        <f t="array" ref="BH4">_xlfn.TEXTJOIN("",TRUE,IF('Pillar 1'!$L$5:$L$104=$BG$3,"["&amp;'Pillar 1'!$C$5:$C$104&amp;"] "&amp;'Pillar 1'!$B$5:$B$104&amp;CHAR(10),""))</f>
        <v/>
      </c>
      <c r="BI4">
        <f t="array" ref="BI4">_xlfn.TEXTJOIN("",TRUE,IF('Pillar 2'!$L$5:$L$104=$BG$3,"["&amp;'Pillar 2'!$C$5:$C$104&amp;"] "&amp;'Pillar 2'!$B$5:$B$104&amp;CHAR(10),""))</f>
        <v/>
      </c>
      <c r="BJ4">
        <f t="array" ref="BJ4">_xlfn.TEXTJOIN("",TRUE,IF('Pillar 3'!$L$5:$L$104=$BG$3,"["&amp;'Pillar 3'!$C$5:$C$104&amp;"] "&amp;'Pillar 3'!$B$5:$B$104&amp;CHAR(10),""))</f>
        <v/>
      </c>
      <c r="BK4">
        <f t="array" ref="BK4">_xlfn.TEXTJOIN("",TRUE,IF('Pillar 4'!$L$5:$L$104=$BG$3,"["&amp;'Pillar 4'!$C$5:$C$104&amp;"] "&amp;'Pillar 4'!$B$5:$B$104&amp;CHAR(10),""))</f>
        <v/>
      </c>
      <c r="BL4">
        <f t="array" ref="BL4">_xlfn.TEXTJOIN("",TRUE,IF('Tuan Buffer'!$L$5:$L$104=$BG$3,"["&amp;'Tuan Buffer'!$C$5:$C$104&amp;"] "&amp;'Tuan Buffer'!$B$5:$B$104&amp;CHAR(10),""))</f>
        <v/>
      </c>
      <c r="BM4">
        <f>IF(IFERROR(INDEX('Pillar 1'!$C$5:$C$104,MATCH($BG$3,'Pillar 1'!$L$5:$L$104,0)),"")&lt;&gt;"",IFERROR(INDEX('Pillar 1'!$C$5:$C$104,MATCH($BG$3,'Pillar 1'!$L$5:$L$104,0)),""),IF(IFERROR(INDEX('Pillar 2'!$C$5:$C$104,MATCH($BG$3,'Pillar 2'!$L$5:$L$104,0)),"")&lt;&gt;"",IFERROR(INDEX('Pillar 2'!$C$5:$C$104,MATCH($BG$3,'Pillar 2'!$L$5:$L$104,0)),""),IF(IFERROR(INDEX('Pillar 3'!$C$5:$C$104,MATCH($BG$3,'Pillar 3'!$L$5:$L$104,0)),"")&lt;&gt;"",IFERROR(INDEX('Pillar 3'!$C$5:$C$104,MATCH($BG$3,'Pillar 3'!$L$5:$L$104,0)),""),IF(IFERROR(INDEX('Pillar 4'!$C$5:$C$104,MATCH($BG$3,'Pillar 4'!$L$5:$L$104,0)),"")&lt;&gt;"",IFERROR(INDEX('Pillar 4'!$C$5:$C$104,MATCH($BG$3,'Pillar 4'!$L$5:$L$104,0)),""),IFERROR(INDEX('Tuan Buffer'!$C$5:$C$104,MATCH($BG$3,'Tuan Buffer'!$L$5:$L$104,0)),"")))))</f>
        <v/>
      </c>
      <c r="BN4">
        <f>IF(IFERROR(INDEX('Pillar 1'!$C$5:$C$104,MATCH($BG$3,'Pillar 1'!$L$5:$L$104,0)),"")&lt;&gt;"","'Pillar 1'!A"&amp;IFERROR(MATCH($BG$3,'Pillar 1'!$L$5:$L$104,0)+5-1,0),IF(IFERROR(INDEX('Pillar 2'!$C$5:$C$104,MATCH($BG$3,'Pillar 2'!$L$5:$L$104,0)),"")&lt;&gt;"","'Pillar 2'!A"&amp;IFERROR(MATCH($BG$3,'Pillar 2'!$L$5:$L$104,0)+5-1,0),IF(IFERROR(INDEX('Pillar 3'!$C$5:$C$104,MATCH($BG$3,'Pillar 3'!$L$5:$L$104,0)),"")&lt;&gt;"","'Pillar 3'!A"&amp;IFERROR(MATCH($BG$3,'Pillar 3'!$L$5:$L$104,0)+5-1,0),IF(IFERROR(INDEX('Pillar 4'!$C$5:$C$104,MATCH($BG$3,'Pillar 4'!$L$5:$L$104,0)),"")&lt;&gt;"","'Pillar 4'!A"&amp;IFERROR(MATCH($BG$3,'Pillar 4'!$L$5:$L$104,0)+5-1,0),"'Tuan Buffer'!A"&amp;IFERROR(MATCH($BG$3,'Tuan Buffer'!$L$5:$L$104,0)+5-1,0)))))</f>
        <v/>
      </c>
    </row>
    <row r="5" ht="16" customHeight="1">
      <c r="A5" s="22" t="inlineStr">
        <is>
          <t>TUẦN 2
P2: [Điền tên chủ đề Pillar 2]</t>
        </is>
      </c>
      <c r="B5" s="23" t="n">
        <v>7</v>
      </c>
      <c r="C5" s="23" t="n">
        <v>8</v>
      </c>
      <c r="D5" s="23" t="n">
        <v>9</v>
      </c>
      <c r="E5" s="23" t="n">
        <v>10</v>
      </c>
      <c r="F5" s="23" t="n">
        <v>11</v>
      </c>
      <c r="G5" s="23" t="n">
        <v>12</v>
      </c>
      <c r="H5" s="23" t="n">
        <v>13</v>
      </c>
      <c r="K5" s="20" t="n">
        <v>46272</v>
      </c>
      <c r="S5" s="20" t="n">
        <v>46273</v>
      </c>
      <c r="AA5" s="20" t="n">
        <v>46274</v>
      </c>
      <c r="AI5" s="20" t="n">
        <v>46275</v>
      </c>
      <c r="AQ5" s="20" t="n">
        <v>46276</v>
      </c>
      <c r="AY5" s="20" t="n">
        <v>46277</v>
      </c>
      <c r="BG5" s="20" t="n">
        <v>46278</v>
      </c>
    </row>
    <row r="6" ht="62" customHeight="1">
      <c r="B6" s="21">
        <f>IF($Q$6="",TRIM($L$6&amp;$M$6&amp;$N$6&amp;$O$6&amp;$P$6),HYPERLINK("#"&amp;$R$6,TRIM($L$6&amp;$M$6&amp;$N$6&amp;$O$6&amp;$P$6)))</f>
        <v/>
      </c>
      <c r="C6" s="21">
        <f>IF($Y$6="",TRIM($T$6&amp;$U$6&amp;$V$6&amp;$W$6&amp;$X$6),HYPERLINK("#"&amp;$Z$6,TRIM($T$6&amp;$U$6&amp;$V$6&amp;$W$6&amp;$X$6)))</f>
        <v/>
      </c>
      <c r="D6" s="21">
        <f>IF($AG$6="",TRIM($AB$6&amp;$AC$6&amp;$AD$6&amp;$AE$6&amp;$AF$6),HYPERLINK("#"&amp;$AH$6,TRIM($AB$6&amp;$AC$6&amp;$AD$6&amp;$AE$6&amp;$AF$6)))</f>
        <v/>
      </c>
      <c r="E6" s="21">
        <f>IF($AO$6="",TRIM($AJ$6&amp;$AK$6&amp;$AL$6&amp;$AM$6&amp;$AN$6),HYPERLINK("#"&amp;$AP$6,TRIM($AJ$6&amp;$AK$6&amp;$AL$6&amp;$AM$6&amp;$AN$6)))</f>
        <v/>
      </c>
      <c r="F6" s="21">
        <f>IF($AW$6="",TRIM($AR$6&amp;$AS$6&amp;$AT$6&amp;$AU$6&amp;$AV$6),HYPERLINK("#"&amp;$AX$6,TRIM($AR$6&amp;$AS$6&amp;$AT$6&amp;$AU$6&amp;$AV$6)))</f>
        <v/>
      </c>
      <c r="G6" s="21">
        <f>IF($BE$6="",TRIM($AZ$6&amp;$BA$6&amp;$BB$6&amp;$BC$6&amp;$BD$6),HYPERLINK("#"&amp;$BF$6,TRIM($AZ$6&amp;$BA$6&amp;$BB$6&amp;$BC$6&amp;$BD$6)))</f>
        <v/>
      </c>
      <c r="H6" s="21">
        <f>IF($BM$6="",TRIM($BH$6&amp;$BI$6&amp;$BJ$6&amp;$BK$6&amp;$BL$6),HYPERLINK("#"&amp;$BN$6,TRIM($BH$6&amp;$BI$6&amp;$BJ$6&amp;$BK$6&amp;$BL$6)))</f>
        <v/>
      </c>
      <c r="L6">
        <f t="array" ref="L6">_xlfn.TEXTJOIN("",TRUE,IF('Pillar 1'!$L$5:$L$104=$K$5,"["&amp;'Pillar 1'!$C$5:$C$104&amp;"] "&amp;'Pillar 1'!$B$5:$B$104&amp;CHAR(10),""))</f>
        <v/>
      </c>
      <c r="M6">
        <f t="array" ref="M6">_xlfn.TEXTJOIN("",TRUE,IF('Pillar 2'!$L$5:$L$104=$K$5,"["&amp;'Pillar 2'!$C$5:$C$104&amp;"] "&amp;'Pillar 2'!$B$5:$B$104&amp;CHAR(10),""))</f>
        <v/>
      </c>
      <c r="N6">
        <f t="array" ref="N6">_xlfn.TEXTJOIN("",TRUE,IF('Pillar 3'!$L$5:$L$104=$K$5,"["&amp;'Pillar 3'!$C$5:$C$104&amp;"] "&amp;'Pillar 3'!$B$5:$B$104&amp;CHAR(10),""))</f>
        <v/>
      </c>
      <c r="O6">
        <f t="array" ref="O6">_xlfn.TEXTJOIN("",TRUE,IF('Pillar 4'!$L$5:$L$104=$K$5,"["&amp;'Pillar 4'!$C$5:$C$104&amp;"] "&amp;'Pillar 4'!$B$5:$B$104&amp;CHAR(10),""))</f>
        <v/>
      </c>
      <c r="P6">
        <f t="array" ref="P6">_xlfn.TEXTJOIN("",TRUE,IF('Tuan Buffer'!$L$5:$L$104=$K$5,"["&amp;'Tuan Buffer'!$C$5:$C$104&amp;"] "&amp;'Tuan Buffer'!$B$5:$B$104&amp;CHAR(10),""))</f>
        <v/>
      </c>
      <c r="Q6">
        <f>IF(IFERROR(INDEX('Pillar 1'!$C$5:$C$104,MATCH($K$5,'Pillar 1'!$L$5:$L$104,0)),"")&lt;&gt;"",IFERROR(INDEX('Pillar 1'!$C$5:$C$104,MATCH($K$5,'Pillar 1'!$L$5:$L$104,0)),""),IF(IFERROR(INDEX('Pillar 2'!$C$5:$C$104,MATCH($K$5,'Pillar 2'!$L$5:$L$104,0)),"")&lt;&gt;"",IFERROR(INDEX('Pillar 2'!$C$5:$C$104,MATCH($K$5,'Pillar 2'!$L$5:$L$104,0)),""),IF(IFERROR(INDEX('Pillar 3'!$C$5:$C$104,MATCH($K$5,'Pillar 3'!$L$5:$L$104,0)),"")&lt;&gt;"",IFERROR(INDEX('Pillar 3'!$C$5:$C$104,MATCH($K$5,'Pillar 3'!$L$5:$L$104,0)),""),IF(IFERROR(INDEX('Pillar 4'!$C$5:$C$104,MATCH($K$5,'Pillar 4'!$L$5:$L$104,0)),"")&lt;&gt;"",IFERROR(INDEX('Pillar 4'!$C$5:$C$104,MATCH($K$5,'Pillar 4'!$L$5:$L$104,0)),""),IFERROR(INDEX('Tuan Buffer'!$C$5:$C$104,MATCH($K$5,'Tuan Buffer'!$L$5:$L$104,0)),"")))))</f>
        <v/>
      </c>
      <c r="R6">
        <f>IF(IFERROR(INDEX('Pillar 1'!$C$5:$C$104,MATCH($K$5,'Pillar 1'!$L$5:$L$104,0)),"")&lt;&gt;"","'Pillar 1'!A"&amp;IFERROR(MATCH($K$5,'Pillar 1'!$L$5:$L$104,0)+5-1,0),IF(IFERROR(INDEX('Pillar 2'!$C$5:$C$104,MATCH($K$5,'Pillar 2'!$L$5:$L$104,0)),"")&lt;&gt;"","'Pillar 2'!A"&amp;IFERROR(MATCH($K$5,'Pillar 2'!$L$5:$L$104,0)+5-1,0),IF(IFERROR(INDEX('Pillar 3'!$C$5:$C$104,MATCH($K$5,'Pillar 3'!$L$5:$L$104,0)),"")&lt;&gt;"","'Pillar 3'!A"&amp;IFERROR(MATCH($K$5,'Pillar 3'!$L$5:$L$104,0)+5-1,0),IF(IFERROR(INDEX('Pillar 4'!$C$5:$C$104,MATCH($K$5,'Pillar 4'!$L$5:$L$104,0)),"")&lt;&gt;"","'Pillar 4'!A"&amp;IFERROR(MATCH($K$5,'Pillar 4'!$L$5:$L$104,0)+5-1,0),"'Tuan Buffer'!A"&amp;IFERROR(MATCH($K$5,'Tuan Buffer'!$L$5:$L$104,0)+5-1,0)))))</f>
        <v/>
      </c>
      <c r="T6">
        <f t="array" ref="T6">_xlfn.TEXTJOIN("",TRUE,IF('Pillar 1'!$L$5:$L$104=$S$5,"["&amp;'Pillar 1'!$C$5:$C$104&amp;"] "&amp;'Pillar 1'!$B$5:$B$104&amp;CHAR(10),""))</f>
        <v/>
      </c>
      <c r="U6">
        <f t="array" ref="U6">_xlfn.TEXTJOIN("",TRUE,IF('Pillar 2'!$L$5:$L$104=$S$5,"["&amp;'Pillar 2'!$C$5:$C$104&amp;"] "&amp;'Pillar 2'!$B$5:$B$104&amp;CHAR(10),""))</f>
        <v/>
      </c>
      <c r="V6">
        <f t="array" ref="V6">_xlfn.TEXTJOIN("",TRUE,IF('Pillar 3'!$L$5:$L$104=$S$5,"["&amp;'Pillar 3'!$C$5:$C$104&amp;"] "&amp;'Pillar 3'!$B$5:$B$104&amp;CHAR(10),""))</f>
        <v/>
      </c>
      <c r="W6">
        <f t="array" ref="W6">_xlfn.TEXTJOIN("",TRUE,IF('Pillar 4'!$L$5:$L$104=$S$5,"["&amp;'Pillar 4'!$C$5:$C$104&amp;"] "&amp;'Pillar 4'!$B$5:$B$104&amp;CHAR(10),""))</f>
        <v/>
      </c>
      <c r="X6">
        <f t="array" ref="X6">_xlfn.TEXTJOIN("",TRUE,IF('Tuan Buffer'!$L$5:$L$104=$S$5,"["&amp;'Tuan Buffer'!$C$5:$C$104&amp;"] "&amp;'Tuan Buffer'!$B$5:$B$104&amp;CHAR(10),""))</f>
        <v/>
      </c>
      <c r="Y6">
        <f>IF(IFERROR(INDEX('Pillar 1'!$C$5:$C$104,MATCH($S$5,'Pillar 1'!$L$5:$L$104,0)),"")&lt;&gt;"",IFERROR(INDEX('Pillar 1'!$C$5:$C$104,MATCH($S$5,'Pillar 1'!$L$5:$L$104,0)),""),IF(IFERROR(INDEX('Pillar 2'!$C$5:$C$104,MATCH($S$5,'Pillar 2'!$L$5:$L$104,0)),"")&lt;&gt;"",IFERROR(INDEX('Pillar 2'!$C$5:$C$104,MATCH($S$5,'Pillar 2'!$L$5:$L$104,0)),""),IF(IFERROR(INDEX('Pillar 3'!$C$5:$C$104,MATCH($S$5,'Pillar 3'!$L$5:$L$104,0)),"")&lt;&gt;"",IFERROR(INDEX('Pillar 3'!$C$5:$C$104,MATCH($S$5,'Pillar 3'!$L$5:$L$104,0)),""),IF(IFERROR(INDEX('Pillar 4'!$C$5:$C$104,MATCH($S$5,'Pillar 4'!$L$5:$L$104,0)),"")&lt;&gt;"",IFERROR(INDEX('Pillar 4'!$C$5:$C$104,MATCH($S$5,'Pillar 4'!$L$5:$L$104,0)),""),IFERROR(INDEX('Tuan Buffer'!$C$5:$C$104,MATCH($S$5,'Tuan Buffer'!$L$5:$L$104,0)),"")))))</f>
        <v/>
      </c>
      <c r="Z6">
        <f>IF(IFERROR(INDEX('Pillar 1'!$C$5:$C$104,MATCH($S$5,'Pillar 1'!$L$5:$L$104,0)),"")&lt;&gt;"","'Pillar 1'!A"&amp;IFERROR(MATCH($S$5,'Pillar 1'!$L$5:$L$104,0)+5-1,0),IF(IFERROR(INDEX('Pillar 2'!$C$5:$C$104,MATCH($S$5,'Pillar 2'!$L$5:$L$104,0)),"")&lt;&gt;"","'Pillar 2'!A"&amp;IFERROR(MATCH($S$5,'Pillar 2'!$L$5:$L$104,0)+5-1,0),IF(IFERROR(INDEX('Pillar 3'!$C$5:$C$104,MATCH($S$5,'Pillar 3'!$L$5:$L$104,0)),"")&lt;&gt;"","'Pillar 3'!A"&amp;IFERROR(MATCH($S$5,'Pillar 3'!$L$5:$L$104,0)+5-1,0),IF(IFERROR(INDEX('Pillar 4'!$C$5:$C$104,MATCH($S$5,'Pillar 4'!$L$5:$L$104,0)),"")&lt;&gt;"","'Pillar 4'!A"&amp;IFERROR(MATCH($S$5,'Pillar 4'!$L$5:$L$104,0)+5-1,0),"'Tuan Buffer'!A"&amp;IFERROR(MATCH($S$5,'Tuan Buffer'!$L$5:$L$104,0)+5-1,0)))))</f>
        <v/>
      </c>
      <c r="AB6">
        <f t="array" ref="AB6">_xlfn.TEXTJOIN("",TRUE,IF('Pillar 1'!$L$5:$L$104=$AA$5,"["&amp;'Pillar 1'!$C$5:$C$104&amp;"] "&amp;'Pillar 1'!$B$5:$B$104&amp;CHAR(10),""))</f>
        <v/>
      </c>
      <c r="AC6">
        <f t="array" ref="AC6">_xlfn.TEXTJOIN("",TRUE,IF('Pillar 2'!$L$5:$L$104=$AA$5,"["&amp;'Pillar 2'!$C$5:$C$104&amp;"] "&amp;'Pillar 2'!$B$5:$B$104&amp;CHAR(10),""))</f>
        <v/>
      </c>
      <c r="AD6">
        <f t="array" ref="AD6">_xlfn.TEXTJOIN("",TRUE,IF('Pillar 3'!$L$5:$L$104=$AA$5,"["&amp;'Pillar 3'!$C$5:$C$104&amp;"] "&amp;'Pillar 3'!$B$5:$B$104&amp;CHAR(10),""))</f>
        <v/>
      </c>
      <c r="AE6">
        <f t="array" ref="AE6">_xlfn.TEXTJOIN("",TRUE,IF('Pillar 4'!$L$5:$L$104=$AA$5,"["&amp;'Pillar 4'!$C$5:$C$104&amp;"] "&amp;'Pillar 4'!$B$5:$B$104&amp;CHAR(10),""))</f>
        <v/>
      </c>
      <c r="AF6">
        <f t="array" ref="AF6">_xlfn.TEXTJOIN("",TRUE,IF('Tuan Buffer'!$L$5:$L$104=$AA$5,"["&amp;'Tuan Buffer'!$C$5:$C$104&amp;"] "&amp;'Tuan Buffer'!$B$5:$B$104&amp;CHAR(10),""))</f>
        <v/>
      </c>
      <c r="AG6">
        <f>IF(IFERROR(INDEX('Pillar 1'!$C$5:$C$104,MATCH($AA$5,'Pillar 1'!$L$5:$L$104,0)),"")&lt;&gt;"",IFERROR(INDEX('Pillar 1'!$C$5:$C$104,MATCH($AA$5,'Pillar 1'!$L$5:$L$104,0)),""),IF(IFERROR(INDEX('Pillar 2'!$C$5:$C$104,MATCH($AA$5,'Pillar 2'!$L$5:$L$104,0)),"")&lt;&gt;"",IFERROR(INDEX('Pillar 2'!$C$5:$C$104,MATCH($AA$5,'Pillar 2'!$L$5:$L$104,0)),""),IF(IFERROR(INDEX('Pillar 3'!$C$5:$C$104,MATCH($AA$5,'Pillar 3'!$L$5:$L$104,0)),"")&lt;&gt;"",IFERROR(INDEX('Pillar 3'!$C$5:$C$104,MATCH($AA$5,'Pillar 3'!$L$5:$L$104,0)),""),IF(IFERROR(INDEX('Pillar 4'!$C$5:$C$104,MATCH($AA$5,'Pillar 4'!$L$5:$L$104,0)),"")&lt;&gt;"",IFERROR(INDEX('Pillar 4'!$C$5:$C$104,MATCH($AA$5,'Pillar 4'!$L$5:$L$104,0)),""),IFERROR(INDEX('Tuan Buffer'!$C$5:$C$104,MATCH($AA$5,'Tuan Buffer'!$L$5:$L$104,0)),"")))))</f>
        <v/>
      </c>
      <c r="AH6">
        <f>IF(IFERROR(INDEX('Pillar 1'!$C$5:$C$104,MATCH($AA$5,'Pillar 1'!$L$5:$L$104,0)),"")&lt;&gt;"","'Pillar 1'!A"&amp;IFERROR(MATCH($AA$5,'Pillar 1'!$L$5:$L$104,0)+5-1,0),IF(IFERROR(INDEX('Pillar 2'!$C$5:$C$104,MATCH($AA$5,'Pillar 2'!$L$5:$L$104,0)),"")&lt;&gt;"","'Pillar 2'!A"&amp;IFERROR(MATCH($AA$5,'Pillar 2'!$L$5:$L$104,0)+5-1,0),IF(IFERROR(INDEX('Pillar 3'!$C$5:$C$104,MATCH($AA$5,'Pillar 3'!$L$5:$L$104,0)),"")&lt;&gt;"","'Pillar 3'!A"&amp;IFERROR(MATCH($AA$5,'Pillar 3'!$L$5:$L$104,0)+5-1,0),IF(IFERROR(INDEX('Pillar 4'!$C$5:$C$104,MATCH($AA$5,'Pillar 4'!$L$5:$L$104,0)),"")&lt;&gt;"","'Pillar 4'!A"&amp;IFERROR(MATCH($AA$5,'Pillar 4'!$L$5:$L$104,0)+5-1,0),"'Tuan Buffer'!A"&amp;IFERROR(MATCH($AA$5,'Tuan Buffer'!$L$5:$L$104,0)+5-1,0)))))</f>
        <v/>
      </c>
      <c r="AJ6">
        <f t="array" ref="AJ6">_xlfn.TEXTJOIN("",TRUE,IF('Pillar 1'!$L$5:$L$104=$AI$5,"["&amp;'Pillar 1'!$C$5:$C$104&amp;"] "&amp;'Pillar 1'!$B$5:$B$104&amp;CHAR(10),""))</f>
        <v/>
      </c>
      <c r="AK6">
        <f t="array" ref="AK6">_xlfn.TEXTJOIN("",TRUE,IF('Pillar 2'!$L$5:$L$104=$AI$5,"["&amp;'Pillar 2'!$C$5:$C$104&amp;"] "&amp;'Pillar 2'!$B$5:$B$104&amp;CHAR(10),""))</f>
        <v/>
      </c>
      <c r="AL6">
        <f t="array" ref="AL6">_xlfn.TEXTJOIN("",TRUE,IF('Pillar 3'!$L$5:$L$104=$AI$5,"["&amp;'Pillar 3'!$C$5:$C$104&amp;"] "&amp;'Pillar 3'!$B$5:$B$104&amp;CHAR(10),""))</f>
        <v/>
      </c>
      <c r="AM6">
        <f t="array" ref="AM6">_xlfn.TEXTJOIN("",TRUE,IF('Pillar 4'!$L$5:$L$104=$AI$5,"["&amp;'Pillar 4'!$C$5:$C$104&amp;"] "&amp;'Pillar 4'!$B$5:$B$104&amp;CHAR(10),""))</f>
        <v/>
      </c>
      <c r="AN6">
        <f t="array" ref="AN6">_xlfn.TEXTJOIN("",TRUE,IF('Tuan Buffer'!$L$5:$L$104=$AI$5,"["&amp;'Tuan Buffer'!$C$5:$C$104&amp;"] "&amp;'Tuan Buffer'!$B$5:$B$104&amp;CHAR(10),""))</f>
        <v/>
      </c>
      <c r="AO6">
        <f>IF(IFERROR(INDEX('Pillar 1'!$C$5:$C$104,MATCH($AI$5,'Pillar 1'!$L$5:$L$104,0)),"")&lt;&gt;"",IFERROR(INDEX('Pillar 1'!$C$5:$C$104,MATCH($AI$5,'Pillar 1'!$L$5:$L$104,0)),""),IF(IFERROR(INDEX('Pillar 2'!$C$5:$C$104,MATCH($AI$5,'Pillar 2'!$L$5:$L$104,0)),"")&lt;&gt;"",IFERROR(INDEX('Pillar 2'!$C$5:$C$104,MATCH($AI$5,'Pillar 2'!$L$5:$L$104,0)),""),IF(IFERROR(INDEX('Pillar 3'!$C$5:$C$104,MATCH($AI$5,'Pillar 3'!$L$5:$L$104,0)),"")&lt;&gt;"",IFERROR(INDEX('Pillar 3'!$C$5:$C$104,MATCH($AI$5,'Pillar 3'!$L$5:$L$104,0)),""),IF(IFERROR(INDEX('Pillar 4'!$C$5:$C$104,MATCH($AI$5,'Pillar 4'!$L$5:$L$104,0)),"")&lt;&gt;"",IFERROR(INDEX('Pillar 4'!$C$5:$C$104,MATCH($AI$5,'Pillar 4'!$L$5:$L$104,0)),""),IFERROR(INDEX('Tuan Buffer'!$C$5:$C$104,MATCH($AI$5,'Tuan Buffer'!$L$5:$L$104,0)),"")))))</f>
        <v/>
      </c>
      <c r="AP6">
        <f>IF(IFERROR(INDEX('Pillar 1'!$C$5:$C$104,MATCH($AI$5,'Pillar 1'!$L$5:$L$104,0)),"")&lt;&gt;"","'Pillar 1'!A"&amp;IFERROR(MATCH($AI$5,'Pillar 1'!$L$5:$L$104,0)+5-1,0),IF(IFERROR(INDEX('Pillar 2'!$C$5:$C$104,MATCH($AI$5,'Pillar 2'!$L$5:$L$104,0)),"")&lt;&gt;"","'Pillar 2'!A"&amp;IFERROR(MATCH($AI$5,'Pillar 2'!$L$5:$L$104,0)+5-1,0),IF(IFERROR(INDEX('Pillar 3'!$C$5:$C$104,MATCH($AI$5,'Pillar 3'!$L$5:$L$104,0)),"")&lt;&gt;"","'Pillar 3'!A"&amp;IFERROR(MATCH($AI$5,'Pillar 3'!$L$5:$L$104,0)+5-1,0),IF(IFERROR(INDEX('Pillar 4'!$C$5:$C$104,MATCH($AI$5,'Pillar 4'!$L$5:$L$104,0)),"")&lt;&gt;"","'Pillar 4'!A"&amp;IFERROR(MATCH($AI$5,'Pillar 4'!$L$5:$L$104,0)+5-1,0),"'Tuan Buffer'!A"&amp;IFERROR(MATCH($AI$5,'Tuan Buffer'!$L$5:$L$104,0)+5-1,0)))))</f>
        <v/>
      </c>
      <c r="AR6">
        <f t="array" ref="AR6">_xlfn.TEXTJOIN("",TRUE,IF('Pillar 1'!$L$5:$L$104=$AQ$5,"["&amp;'Pillar 1'!$C$5:$C$104&amp;"] "&amp;'Pillar 1'!$B$5:$B$104&amp;CHAR(10),""))</f>
        <v/>
      </c>
      <c r="AS6">
        <f t="array" ref="AS6">_xlfn.TEXTJOIN("",TRUE,IF('Pillar 2'!$L$5:$L$104=$AQ$5,"["&amp;'Pillar 2'!$C$5:$C$104&amp;"] "&amp;'Pillar 2'!$B$5:$B$104&amp;CHAR(10),""))</f>
        <v/>
      </c>
      <c r="AT6">
        <f t="array" ref="AT6">_xlfn.TEXTJOIN("",TRUE,IF('Pillar 3'!$L$5:$L$104=$AQ$5,"["&amp;'Pillar 3'!$C$5:$C$104&amp;"] "&amp;'Pillar 3'!$B$5:$B$104&amp;CHAR(10),""))</f>
        <v/>
      </c>
      <c r="AU6">
        <f t="array" ref="AU6">_xlfn.TEXTJOIN("",TRUE,IF('Pillar 4'!$L$5:$L$104=$AQ$5,"["&amp;'Pillar 4'!$C$5:$C$104&amp;"] "&amp;'Pillar 4'!$B$5:$B$104&amp;CHAR(10),""))</f>
        <v/>
      </c>
      <c r="AV6">
        <f t="array" ref="AV6">_xlfn.TEXTJOIN("",TRUE,IF('Tuan Buffer'!$L$5:$L$104=$AQ$5,"["&amp;'Tuan Buffer'!$C$5:$C$104&amp;"] "&amp;'Tuan Buffer'!$B$5:$B$104&amp;CHAR(10),""))</f>
        <v/>
      </c>
      <c r="AW6">
        <f>IF(IFERROR(INDEX('Pillar 1'!$C$5:$C$104,MATCH($AQ$5,'Pillar 1'!$L$5:$L$104,0)),"")&lt;&gt;"",IFERROR(INDEX('Pillar 1'!$C$5:$C$104,MATCH($AQ$5,'Pillar 1'!$L$5:$L$104,0)),""),IF(IFERROR(INDEX('Pillar 2'!$C$5:$C$104,MATCH($AQ$5,'Pillar 2'!$L$5:$L$104,0)),"")&lt;&gt;"",IFERROR(INDEX('Pillar 2'!$C$5:$C$104,MATCH($AQ$5,'Pillar 2'!$L$5:$L$104,0)),""),IF(IFERROR(INDEX('Pillar 3'!$C$5:$C$104,MATCH($AQ$5,'Pillar 3'!$L$5:$L$104,0)),"")&lt;&gt;"",IFERROR(INDEX('Pillar 3'!$C$5:$C$104,MATCH($AQ$5,'Pillar 3'!$L$5:$L$104,0)),""),IF(IFERROR(INDEX('Pillar 4'!$C$5:$C$104,MATCH($AQ$5,'Pillar 4'!$L$5:$L$104,0)),"")&lt;&gt;"",IFERROR(INDEX('Pillar 4'!$C$5:$C$104,MATCH($AQ$5,'Pillar 4'!$L$5:$L$104,0)),""),IFERROR(INDEX('Tuan Buffer'!$C$5:$C$104,MATCH($AQ$5,'Tuan Buffer'!$L$5:$L$104,0)),"")))))</f>
        <v/>
      </c>
      <c r="AX6">
        <f>IF(IFERROR(INDEX('Pillar 1'!$C$5:$C$104,MATCH($AQ$5,'Pillar 1'!$L$5:$L$104,0)),"")&lt;&gt;"","'Pillar 1'!A"&amp;IFERROR(MATCH($AQ$5,'Pillar 1'!$L$5:$L$104,0)+5-1,0),IF(IFERROR(INDEX('Pillar 2'!$C$5:$C$104,MATCH($AQ$5,'Pillar 2'!$L$5:$L$104,0)),"")&lt;&gt;"","'Pillar 2'!A"&amp;IFERROR(MATCH($AQ$5,'Pillar 2'!$L$5:$L$104,0)+5-1,0),IF(IFERROR(INDEX('Pillar 3'!$C$5:$C$104,MATCH($AQ$5,'Pillar 3'!$L$5:$L$104,0)),"")&lt;&gt;"","'Pillar 3'!A"&amp;IFERROR(MATCH($AQ$5,'Pillar 3'!$L$5:$L$104,0)+5-1,0),IF(IFERROR(INDEX('Pillar 4'!$C$5:$C$104,MATCH($AQ$5,'Pillar 4'!$L$5:$L$104,0)),"")&lt;&gt;"","'Pillar 4'!A"&amp;IFERROR(MATCH($AQ$5,'Pillar 4'!$L$5:$L$104,0)+5-1,0),"'Tuan Buffer'!A"&amp;IFERROR(MATCH($AQ$5,'Tuan Buffer'!$L$5:$L$104,0)+5-1,0)))))</f>
        <v/>
      </c>
      <c r="AZ6">
        <f t="array" ref="AZ6">_xlfn.TEXTJOIN("",TRUE,IF('Pillar 1'!$L$5:$L$104=$AY$5,"["&amp;'Pillar 1'!$C$5:$C$104&amp;"] "&amp;'Pillar 1'!$B$5:$B$104&amp;CHAR(10),""))</f>
        <v/>
      </c>
      <c r="BA6">
        <f t="array" ref="BA6">_xlfn.TEXTJOIN("",TRUE,IF('Pillar 2'!$L$5:$L$104=$AY$5,"["&amp;'Pillar 2'!$C$5:$C$104&amp;"] "&amp;'Pillar 2'!$B$5:$B$104&amp;CHAR(10),""))</f>
        <v/>
      </c>
      <c r="BB6">
        <f t="array" ref="BB6">_xlfn.TEXTJOIN("",TRUE,IF('Pillar 3'!$L$5:$L$104=$AY$5,"["&amp;'Pillar 3'!$C$5:$C$104&amp;"] "&amp;'Pillar 3'!$B$5:$B$104&amp;CHAR(10),""))</f>
        <v/>
      </c>
      <c r="BC6">
        <f t="array" ref="BC6">_xlfn.TEXTJOIN("",TRUE,IF('Pillar 4'!$L$5:$L$104=$AY$5,"["&amp;'Pillar 4'!$C$5:$C$104&amp;"] "&amp;'Pillar 4'!$B$5:$B$104&amp;CHAR(10),""))</f>
        <v/>
      </c>
      <c r="BD6">
        <f t="array" ref="BD6">_xlfn.TEXTJOIN("",TRUE,IF('Tuan Buffer'!$L$5:$L$104=$AY$5,"["&amp;'Tuan Buffer'!$C$5:$C$104&amp;"] "&amp;'Tuan Buffer'!$B$5:$B$104&amp;CHAR(10),""))</f>
        <v/>
      </c>
      <c r="BE6">
        <f>IF(IFERROR(INDEX('Pillar 1'!$C$5:$C$104,MATCH($AY$5,'Pillar 1'!$L$5:$L$104,0)),"")&lt;&gt;"",IFERROR(INDEX('Pillar 1'!$C$5:$C$104,MATCH($AY$5,'Pillar 1'!$L$5:$L$104,0)),""),IF(IFERROR(INDEX('Pillar 2'!$C$5:$C$104,MATCH($AY$5,'Pillar 2'!$L$5:$L$104,0)),"")&lt;&gt;"",IFERROR(INDEX('Pillar 2'!$C$5:$C$104,MATCH($AY$5,'Pillar 2'!$L$5:$L$104,0)),""),IF(IFERROR(INDEX('Pillar 3'!$C$5:$C$104,MATCH($AY$5,'Pillar 3'!$L$5:$L$104,0)),"")&lt;&gt;"",IFERROR(INDEX('Pillar 3'!$C$5:$C$104,MATCH($AY$5,'Pillar 3'!$L$5:$L$104,0)),""),IF(IFERROR(INDEX('Pillar 4'!$C$5:$C$104,MATCH($AY$5,'Pillar 4'!$L$5:$L$104,0)),"")&lt;&gt;"",IFERROR(INDEX('Pillar 4'!$C$5:$C$104,MATCH($AY$5,'Pillar 4'!$L$5:$L$104,0)),""),IFERROR(INDEX('Tuan Buffer'!$C$5:$C$104,MATCH($AY$5,'Tuan Buffer'!$L$5:$L$104,0)),"")))))</f>
        <v/>
      </c>
      <c r="BF6">
        <f>IF(IFERROR(INDEX('Pillar 1'!$C$5:$C$104,MATCH($AY$5,'Pillar 1'!$L$5:$L$104,0)),"")&lt;&gt;"","'Pillar 1'!A"&amp;IFERROR(MATCH($AY$5,'Pillar 1'!$L$5:$L$104,0)+5-1,0),IF(IFERROR(INDEX('Pillar 2'!$C$5:$C$104,MATCH($AY$5,'Pillar 2'!$L$5:$L$104,0)),"")&lt;&gt;"","'Pillar 2'!A"&amp;IFERROR(MATCH($AY$5,'Pillar 2'!$L$5:$L$104,0)+5-1,0),IF(IFERROR(INDEX('Pillar 3'!$C$5:$C$104,MATCH($AY$5,'Pillar 3'!$L$5:$L$104,0)),"")&lt;&gt;"","'Pillar 3'!A"&amp;IFERROR(MATCH($AY$5,'Pillar 3'!$L$5:$L$104,0)+5-1,0),IF(IFERROR(INDEX('Pillar 4'!$C$5:$C$104,MATCH($AY$5,'Pillar 4'!$L$5:$L$104,0)),"")&lt;&gt;"","'Pillar 4'!A"&amp;IFERROR(MATCH($AY$5,'Pillar 4'!$L$5:$L$104,0)+5-1,0),"'Tuan Buffer'!A"&amp;IFERROR(MATCH($AY$5,'Tuan Buffer'!$L$5:$L$104,0)+5-1,0)))))</f>
        <v/>
      </c>
      <c r="BH6">
        <f t="array" ref="BH6">_xlfn.TEXTJOIN("",TRUE,IF('Pillar 1'!$L$5:$L$104=$BG$5,"["&amp;'Pillar 1'!$C$5:$C$104&amp;"] "&amp;'Pillar 1'!$B$5:$B$104&amp;CHAR(10),""))</f>
        <v/>
      </c>
      <c r="BI6">
        <f t="array" ref="BI6">_xlfn.TEXTJOIN("",TRUE,IF('Pillar 2'!$L$5:$L$104=$BG$5,"["&amp;'Pillar 2'!$C$5:$C$104&amp;"] "&amp;'Pillar 2'!$B$5:$B$104&amp;CHAR(10),""))</f>
        <v/>
      </c>
      <c r="BJ6">
        <f t="array" ref="BJ6">_xlfn.TEXTJOIN("",TRUE,IF('Pillar 3'!$L$5:$L$104=$BG$5,"["&amp;'Pillar 3'!$C$5:$C$104&amp;"] "&amp;'Pillar 3'!$B$5:$B$104&amp;CHAR(10),""))</f>
        <v/>
      </c>
      <c r="BK6">
        <f t="array" ref="BK6">_xlfn.TEXTJOIN("",TRUE,IF('Pillar 4'!$L$5:$L$104=$BG$5,"["&amp;'Pillar 4'!$C$5:$C$104&amp;"] "&amp;'Pillar 4'!$B$5:$B$104&amp;CHAR(10),""))</f>
        <v/>
      </c>
      <c r="BL6">
        <f t="array" ref="BL6">_xlfn.TEXTJOIN("",TRUE,IF('Tuan Buffer'!$L$5:$L$104=$BG$5,"["&amp;'Tuan Buffer'!$C$5:$C$104&amp;"] "&amp;'Tuan Buffer'!$B$5:$B$104&amp;CHAR(10),""))</f>
        <v/>
      </c>
      <c r="BM6">
        <f>IF(IFERROR(INDEX('Pillar 1'!$C$5:$C$104,MATCH($BG$5,'Pillar 1'!$L$5:$L$104,0)),"")&lt;&gt;"",IFERROR(INDEX('Pillar 1'!$C$5:$C$104,MATCH($BG$5,'Pillar 1'!$L$5:$L$104,0)),""),IF(IFERROR(INDEX('Pillar 2'!$C$5:$C$104,MATCH($BG$5,'Pillar 2'!$L$5:$L$104,0)),"")&lt;&gt;"",IFERROR(INDEX('Pillar 2'!$C$5:$C$104,MATCH($BG$5,'Pillar 2'!$L$5:$L$104,0)),""),IF(IFERROR(INDEX('Pillar 3'!$C$5:$C$104,MATCH($BG$5,'Pillar 3'!$L$5:$L$104,0)),"")&lt;&gt;"",IFERROR(INDEX('Pillar 3'!$C$5:$C$104,MATCH($BG$5,'Pillar 3'!$L$5:$L$104,0)),""),IF(IFERROR(INDEX('Pillar 4'!$C$5:$C$104,MATCH($BG$5,'Pillar 4'!$L$5:$L$104,0)),"")&lt;&gt;"",IFERROR(INDEX('Pillar 4'!$C$5:$C$104,MATCH($BG$5,'Pillar 4'!$L$5:$L$104,0)),""),IFERROR(INDEX('Tuan Buffer'!$C$5:$C$104,MATCH($BG$5,'Tuan Buffer'!$L$5:$L$104,0)),"")))))</f>
        <v/>
      </c>
      <c r="BN6">
        <f>IF(IFERROR(INDEX('Pillar 1'!$C$5:$C$104,MATCH($BG$5,'Pillar 1'!$L$5:$L$104,0)),"")&lt;&gt;"","'Pillar 1'!A"&amp;IFERROR(MATCH($BG$5,'Pillar 1'!$L$5:$L$104,0)+5-1,0),IF(IFERROR(INDEX('Pillar 2'!$C$5:$C$104,MATCH($BG$5,'Pillar 2'!$L$5:$L$104,0)),"")&lt;&gt;"","'Pillar 2'!A"&amp;IFERROR(MATCH($BG$5,'Pillar 2'!$L$5:$L$104,0)+5-1,0),IF(IFERROR(INDEX('Pillar 3'!$C$5:$C$104,MATCH($BG$5,'Pillar 3'!$L$5:$L$104,0)),"")&lt;&gt;"","'Pillar 3'!A"&amp;IFERROR(MATCH($BG$5,'Pillar 3'!$L$5:$L$104,0)+5-1,0),IF(IFERROR(INDEX('Pillar 4'!$C$5:$C$104,MATCH($BG$5,'Pillar 4'!$L$5:$L$104,0)),"")&lt;&gt;"","'Pillar 4'!A"&amp;IFERROR(MATCH($BG$5,'Pillar 4'!$L$5:$L$104,0)+5-1,0),"'Tuan Buffer'!A"&amp;IFERROR(MATCH($BG$5,'Tuan Buffer'!$L$5:$L$104,0)+5-1,0)))))</f>
        <v/>
      </c>
    </row>
    <row r="7" ht="16" customHeight="1">
      <c r="A7" s="24" t="inlineStr">
        <is>
          <t>TUẦN 3
P3: [Điền tên chủ đề Pillar 3]</t>
        </is>
      </c>
      <c r="B7" s="25" t="n">
        <v>14</v>
      </c>
      <c r="C7" s="25" t="n">
        <v>15</v>
      </c>
      <c r="D7" s="25" t="n">
        <v>16</v>
      </c>
      <c r="E7" s="25" t="n">
        <v>17</v>
      </c>
      <c r="F7" s="25" t="n">
        <v>18</v>
      </c>
      <c r="G7" s="25" t="n">
        <v>19</v>
      </c>
      <c r="H7" s="25" t="n">
        <v>20</v>
      </c>
      <c r="K7" s="20" t="n">
        <v>46279</v>
      </c>
      <c r="S7" s="20" t="n">
        <v>46280</v>
      </c>
      <c r="AA7" s="20" t="n">
        <v>46281</v>
      </c>
      <c r="AI7" s="20" t="n">
        <v>46282</v>
      </c>
      <c r="AQ7" s="20" t="n">
        <v>46283</v>
      </c>
      <c r="AY7" s="20" t="n">
        <v>46284</v>
      </c>
      <c r="BG7" s="20" t="n">
        <v>46285</v>
      </c>
    </row>
    <row r="8" ht="62" customHeight="1">
      <c r="B8" s="21">
        <f>IF($Q$8="",TRIM($L$8&amp;$M$8&amp;$N$8&amp;$O$8&amp;$P$8),HYPERLINK("#"&amp;$R$8,TRIM($L$8&amp;$M$8&amp;$N$8&amp;$O$8&amp;$P$8)))</f>
        <v/>
      </c>
      <c r="C8" s="21">
        <f>IF($Y$8="",TRIM($T$8&amp;$U$8&amp;$V$8&amp;$W$8&amp;$X$8),HYPERLINK("#"&amp;$Z$8,TRIM($T$8&amp;$U$8&amp;$V$8&amp;$W$8&amp;$X$8)))</f>
        <v/>
      </c>
      <c r="D8" s="21">
        <f>IF($AG$8="",TRIM($AB$8&amp;$AC$8&amp;$AD$8&amp;$AE$8&amp;$AF$8),HYPERLINK("#"&amp;$AH$8,TRIM($AB$8&amp;$AC$8&amp;$AD$8&amp;$AE$8&amp;$AF$8)))</f>
        <v/>
      </c>
      <c r="E8" s="21">
        <f>IF($AO$8="",TRIM($AJ$8&amp;$AK$8&amp;$AL$8&amp;$AM$8&amp;$AN$8),HYPERLINK("#"&amp;$AP$8,TRIM($AJ$8&amp;$AK$8&amp;$AL$8&amp;$AM$8&amp;$AN$8)))</f>
        <v/>
      </c>
      <c r="F8" s="21">
        <f>IF($AW$8="",TRIM($AR$8&amp;$AS$8&amp;$AT$8&amp;$AU$8&amp;$AV$8),HYPERLINK("#"&amp;$AX$8,TRIM($AR$8&amp;$AS$8&amp;$AT$8&amp;$AU$8&amp;$AV$8)))</f>
        <v/>
      </c>
      <c r="G8" s="21">
        <f>IF($BE$8="",TRIM($AZ$8&amp;$BA$8&amp;$BB$8&amp;$BC$8&amp;$BD$8),HYPERLINK("#"&amp;$BF$8,TRIM($AZ$8&amp;$BA$8&amp;$BB$8&amp;$BC$8&amp;$BD$8)))</f>
        <v/>
      </c>
      <c r="H8" s="21">
        <f>IF($BM$8="",TRIM($BH$8&amp;$BI$8&amp;$BJ$8&amp;$BK$8&amp;$BL$8),HYPERLINK("#"&amp;$BN$8,TRIM($BH$8&amp;$BI$8&amp;$BJ$8&amp;$BK$8&amp;$BL$8)))</f>
        <v/>
      </c>
      <c r="L8">
        <f t="array" ref="L8">_xlfn.TEXTJOIN("",TRUE,IF('Pillar 1'!$L$5:$L$104=$K$7,"["&amp;'Pillar 1'!$C$5:$C$104&amp;"] "&amp;'Pillar 1'!$B$5:$B$104&amp;CHAR(10),""))</f>
        <v/>
      </c>
      <c r="M8">
        <f t="array" ref="M8">_xlfn.TEXTJOIN("",TRUE,IF('Pillar 2'!$L$5:$L$104=$K$7,"["&amp;'Pillar 2'!$C$5:$C$104&amp;"] "&amp;'Pillar 2'!$B$5:$B$104&amp;CHAR(10),""))</f>
        <v/>
      </c>
      <c r="N8">
        <f t="array" ref="N8">_xlfn.TEXTJOIN("",TRUE,IF('Pillar 3'!$L$5:$L$104=$K$7,"["&amp;'Pillar 3'!$C$5:$C$104&amp;"] "&amp;'Pillar 3'!$B$5:$B$104&amp;CHAR(10),""))</f>
        <v/>
      </c>
      <c r="O8">
        <f t="array" ref="O8">_xlfn.TEXTJOIN("",TRUE,IF('Pillar 4'!$L$5:$L$104=$K$7,"["&amp;'Pillar 4'!$C$5:$C$104&amp;"] "&amp;'Pillar 4'!$B$5:$B$104&amp;CHAR(10),""))</f>
        <v/>
      </c>
      <c r="P8">
        <f t="array" ref="P8">_xlfn.TEXTJOIN("",TRUE,IF('Tuan Buffer'!$L$5:$L$104=$K$7,"["&amp;'Tuan Buffer'!$C$5:$C$104&amp;"] "&amp;'Tuan Buffer'!$B$5:$B$104&amp;CHAR(10),""))</f>
        <v/>
      </c>
      <c r="Q8">
        <f>IF(IFERROR(INDEX('Pillar 1'!$C$5:$C$104,MATCH($K$7,'Pillar 1'!$L$5:$L$104,0)),"")&lt;&gt;"",IFERROR(INDEX('Pillar 1'!$C$5:$C$104,MATCH($K$7,'Pillar 1'!$L$5:$L$104,0)),""),IF(IFERROR(INDEX('Pillar 2'!$C$5:$C$104,MATCH($K$7,'Pillar 2'!$L$5:$L$104,0)),"")&lt;&gt;"",IFERROR(INDEX('Pillar 2'!$C$5:$C$104,MATCH($K$7,'Pillar 2'!$L$5:$L$104,0)),""),IF(IFERROR(INDEX('Pillar 3'!$C$5:$C$104,MATCH($K$7,'Pillar 3'!$L$5:$L$104,0)),"")&lt;&gt;"",IFERROR(INDEX('Pillar 3'!$C$5:$C$104,MATCH($K$7,'Pillar 3'!$L$5:$L$104,0)),""),IF(IFERROR(INDEX('Pillar 4'!$C$5:$C$104,MATCH($K$7,'Pillar 4'!$L$5:$L$104,0)),"")&lt;&gt;"",IFERROR(INDEX('Pillar 4'!$C$5:$C$104,MATCH($K$7,'Pillar 4'!$L$5:$L$104,0)),""),IFERROR(INDEX('Tuan Buffer'!$C$5:$C$104,MATCH($K$7,'Tuan Buffer'!$L$5:$L$104,0)),"")))))</f>
        <v/>
      </c>
      <c r="R8">
        <f>IF(IFERROR(INDEX('Pillar 1'!$C$5:$C$104,MATCH($K$7,'Pillar 1'!$L$5:$L$104,0)),"")&lt;&gt;"","'Pillar 1'!A"&amp;IFERROR(MATCH($K$7,'Pillar 1'!$L$5:$L$104,0)+5-1,0),IF(IFERROR(INDEX('Pillar 2'!$C$5:$C$104,MATCH($K$7,'Pillar 2'!$L$5:$L$104,0)),"")&lt;&gt;"","'Pillar 2'!A"&amp;IFERROR(MATCH($K$7,'Pillar 2'!$L$5:$L$104,0)+5-1,0),IF(IFERROR(INDEX('Pillar 3'!$C$5:$C$104,MATCH($K$7,'Pillar 3'!$L$5:$L$104,0)),"")&lt;&gt;"","'Pillar 3'!A"&amp;IFERROR(MATCH($K$7,'Pillar 3'!$L$5:$L$104,0)+5-1,0),IF(IFERROR(INDEX('Pillar 4'!$C$5:$C$104,MATCH($K$7,'Pillar 4'!$L$5:$L$104,0)),"")&lt;&gt;"","'Pillar 4'!A"&amp;IFERROR(MATCH($K$7,'Pillar 4'!$L$5:$L$104,0)+5-1,0),"'Tuan Buffer'!A"&amp;IFERROR(MATCH($K$7,'Tuan Buffer'!$L$5:$L$104,0)+5-1,0)))))</f>
        <v/>
      </c>
      <c r="T8">
        <f t="array" ref="T8">_xlfn.TEXTJOIN("",TRUE,IF('Pillar 1'!$L$5:$L$104=$S$7,"["&amp;'Pillar 1'!$C$5:$C$104&amp;"] "&amp;'Pillar 1'!$B$5:$B$104&amp;CHAR(10),""))</f>
        <v/>
      </c>
      <c r="U8">
        <f t="array" ref="U8">_xlfn.TEXTJOIN("",TRUE,IF('Pillar 2'!$L$5:$L$104=$S$7,"["&amp;'Pillar 2'!$C$5:$C$104&amp;"] "&amp;'Pillar 2'!$B$5:$B$104&amp;CHAR(10),""))</f>
        <v/>
      </c>
      <c r="V8">
        <f t="array" ref="V8">_xlfn.TEXTJOIN("",TRUE,IF('Pillar 3'!$L$5:$L$104=$S$7,"["&amp;'Pillar 3'!$C$5:$C$104&amp;"] "&amp;'Pillar 3'!$B$5:$B$104&amp;CHAR(10),""))</f>
        <v/>
      </c>
      <c r="W8">
        <f t="array" ref="W8">_xlfn.TEXTJOIN("",TRUE,IF('Pillar 4'!$L$5:$L$104=$S$7,"["&amp;'Pillar 4'!$C$5:$C$104&amp;"] "&amp;'Pillar 4'!$B$5:$B$104&amp;CHAR(10),""))</f>
        <v/>
      </c>
      <c r="X8">
        <f t="array" ref="X8">_xlfn.TEXTJOIN("",TRUE,IF('Tuan Buffer'!$L$5:$L$104=$S$7,"["&amp;'Tuan Buffer'!$C$5:$C$104&amp;"] "&amp;'Tuan Buffer'!$B$5:$B$104&amp;CHAR(10),""))</f>
        <v/>
      </c>
      <c r="Y8">
        <f>IF(IFERROR(INDEX('Pillar 1'!$C$5:$C$104,MATCH($S$7,'Pillar 1'!$L$5:$L$104,0)),"")&lt;&gt;"",IFERROR(INDEX('Pillar 1'!$C$5:$C$104,MATCH($S$7,'Pillar 1'!$L$5:$L$104,0)),""),IF(IFERROR(INDEX('Pillar 2'!$C$5:$C$104,MATCH($S$7,'Pillar 2'!$L$5:$L$104,0)),"")&lt;&gt;"",IFERROR(INDEX('Pillar 2'!$C$5:$C$104,MATCH($S$7,'Pillar 2'!$L$5:$L$104,0)),""),IF(IFERROR(INDEX('Pillar 3'!$C$5:$C$104,MATCH($S$7,'Pillar 3'!$L$5:$L$104,0)),"")&lt;&gt;"",IFERROR(INDEX('Pillar 3'!$C$5:$C$104,MATCH($S$7,'Pillar 3'!$L$5:$L$104,0)),""),IF(IFERROR(INDEX('Pillar 4'!$C$5:$C$104,MATCH($S$7,'Pillar 4'!$L$5:$L$104,0)),"")&lt;&gt;"",IFERROR(INDEX('Pillar 4'!$C$5:$C$104,MATCH($S$7,'Pillar 4'!$L$5:$L$104,0)),""),IFERROR(INDEX('Tuan Buffer'!$C$5:$C$104,MATCH($S$7,'Tuan Buffer'!$L$5:$L$104,0)),"")))))</f>
        <v/>
      </c>
      <c r="Z8">
        <f>IF(IFERROR(INDEX('Pillar 1'!$C$5:$C$104,MATCH($S$7,'Pillar 1'!$L$5:$L$104,0)),"")&lt;&gt;"","'Pillar 1'!A"&amp;IFERROR(MATCH($S$7,'Pillar 1'!$L$5:$L$104,0)+5-1,0),IF(IFERROR(INDEX('Pillar 2'!$C$5:$C$104,MATCH($S$7,'Pillar 2'!$L$5:$L$104,0)),"")&lt;&gt;"","'Pillar 2'!A"&amp;IFERROR(MATCH($S$7,'Pillar 2'!$L$5:$L$104,0)+5-1,0),IF(IFERROR(INDEX('Pillar 3'!$C$5:$C$104,MATCH($S$7,'Pillar 3'!$L$5:$L$104,0)),"")&lt;&gt;"","'Pillar 3'!A"&amp;IFERROR(MATCH($S$7,'Pillar 3'!$L$5:$L$104,0)+5-1,0),IF(IFERROR(INDEX('Pillar 4'!$C$5:$C$104,MATCH($S$7,'Pillar 4'!$L$5:$L$104,0)),"")&lt;&gt;"","'Pillar 4'!A"&amp;IFERROR(MATCH($S$7,'Pillar 4'!$L$5:$L$104,0)+5-1,0),"'Tuan Buffer'!A"&amp;IFERROR(MATCH($S$7,'Tuan Buffer'!$L$5:$L$104,0)+5-1,0)))))</f>
        <v/>
      </c>
      <c r="AB8">
        <f t="array" ref="AB8">_xlfn.TEXTJOIN("",TRUE,IF('Pillar 1'!$L$5:$L$104=$AA$7,"["&amp;'Pillar 1'!$C$5:$C$104&amp;"] "&amp;'Pillar 1'!$B$5:$B$104&amp;CHAR(10),""))</f>
        <v/>
      </c>
      <c r="AC8">
        <f t="array" ref="AC8">_xlfn.TEXTJOIN("",TRUE,IF('Pillar 2'!$L$5:$L$104=$AA$7,"["&amp;'Pillar 2'!$C$5:$C$104&amp;"] "&amp;'Pillar 2'!$B$5:$B$104&amp;CHAR(10),""))</f>
        <v/>
      </c>
      <c r="AD8">
        <f t="array" ref="AD8">_xlfn.TEXTJOIN("",TRUE,IF('Pillar 3'!$L$5:$L$104=$AA$7,"["&amp;'Pillar 3'!$C$5:$C$104&amp;"] "&amp;'Pillar 3'!$B$5:$B$104&amp;CHAR(10),""))</f>
        <v/>
      </c>
      <c r="AE8">
        <f t="array" ref="AE8">_xlfn.TEXTJOIN("",TRUE,IF('Pillar 4'!$L$5:$L$104=$AA$7,"["&amp;'Pillar 4'!$C$5:$C$104&amp;"] "&amp;'Pillar 4'!$B$5:$B$104&amp;CHAR(10),""))</f>
        <v/>
      </c>
      <c r="AF8">
        <f t="array" ref="AF8">_xlfn.TEXTJOIN("",TRUE,IF('Tuan Buffer'!$L$5:$L$104=$AA$7,"["&amp;'Tuan Buffer'!$C$5:$C$104&amp;"] "&amp;'Tuan Buffer'!$B$5:$B$104&amp;CHAR(10),""))</f>
        <v/>
      </c>
      <c r="AG8">
        <f>IF(IFERROR(INDEX('Pillar 1'!$C$5:$C$104,MATCH($AA$7,'Pillar 1'!$L$5:$L$104,0)),"")&lt;&gt;"",IFERROR(INDEX('Pillar 1'!$C$5:$C$104,MATCH($AA$7,'Pillar 1'!$L$5:$L$104,0)),""),IF(IFERROR(INDEX('Pillar 2'!$C$5:$C$104,MATCH($AA$7,'Pillar 2'!$L$5:$L$104,0)),"")&lt;&gt;"",IFERROR(INDEX('Pillar 2'!$C$5:$C$104,MATCH($AA$7,'Pillar 2'!$L$5:$L$104,0)),""),IF(IFERROR(INDEX('Pillar 3'!$C$5:$C$104,MATCH($AA$7,'Pillar 3'!$L$5:$L$104,0)),"")&lt;&gt;"",IFERROR(INDEX('Pillar 3'!$C$5:$C$104,MATCH($AA$7,'Pillar 3'!$L$5:$L$104,0)),""),IF(IFERROR(INDEX('Pillar 4'!$C$5:$C$104,MATCH($AA$7,'Pillar 4'!$L$5:$L$104,0)),"")&lt;&gt;"",IFERROR(INDEX('Pillar 4'!$C$5:$C$104,MATCH($AA$7,'Pillar 4'!$L$5:$L$104,0)),""),IFERROR(INDEX('Tuan Buffer'!$C$5:$C$104,MATCH($AA$7,'Tuan Buffer'!$L$5:$L$104,0)),"")))))</f>
        <v/>
      </c>
      <c r="AH8">
        <f>IF(IFERROR(INDEX('Pillar 1'!$C$5:$C$104,MATCH($AA$7,'Pillar 1'!$L$5:$L$104,0)),"")&lt;&gt;"","'Pillar 1'!A"&amp;IFERROR(MATCH($AA$7,'Pillar 1'!$L$5:$L$104,0)+5-1,0),IF(IFERROR(INDEX('Pillar 2'!$C$5:$C$104,MATCH($AA$7,'Pillar 2'!$L$5:$L$104,0)),"")&lt;&gt;"","'Pillar 2'!A"&amp;IFERROR(MATCH($AA$7,'Pillar 2'!$L$5:$L$104,0)+5-1,0),IF(IFERROR(INDEX('Pillar 3'!$C$5:$C$104,MATCH($AA$7,'Pillar 3'!$L$5:$L$104,0)),"")&lt;&gt;"","'Pillar 3'!A"&amp;IFERROR(MATCH($AA$7,'Pillar 3'!$L$5:$L$104,0)+5-1,0),IF(IFERROR(INDEX('Pillar 4'!$C$5:$C$104,MATCH($AA$7,'Pillar 4'!$L$5:$L$104,0)),"")&lt;&gt;"","'Pillar 4'!A"&amp;IFERROR(MATCH($AA$7,'Pillar 4'!$L$5:$L$104,0)+5-1,0),"'Tuan Buffer'!A"&amp;IFERROR(MATCH($AA$7,'Tuan Buffer'!$L$5:$L$104,0)+5-1,0)))))</f>
        <v/>
      </c>
      <c r="AJ8">
        <f t="array" ref="AJ8">_xlfn.TEXTJOIN("",TRUE,IF('Pillar 1'!$L$5:$L$104=$AI$7,"["&amp;'Pillar 1'!$C$5:$C$104&amp;"] "&amp;'Pillar 1'!$B$5:$B$104&amp;CHAR(10),""))</f>
        <v/>
      </c>
      <c r="AK8">
        <f t="array" ref="AK8">_xlfn.TEXTJOIN("",TRUE,IF('Pillar 2'!$L$5:$L$104=$AI$7,"["&amp;'Pillar 2'!$C$5:$C$104&amp;"] "&amp;'Pillar 2'!$B$5:$B$104&amp;CHAR(10),""))</f>
        <v/>
      </c>
      <c r="AL8">
        <f t="array" ref="AL8">_xlfn.TEXTJOIN("",TRUE,IF('Pillar 3'!$L$5:$L$104=$AI$7,"["&amp;'Pillar 3'!$C$5:$C$104&amp;"] "&amp;'Pillar 3'!$B$5:$B$104&amp;CHAR(10),""))</f>
        <v/>
      </c>
      <c r="AM8">
        <f t="array" ref="AM8">_xlfn.TEXTJOIN("",TRUE,IF('Pillar 4'!$L$5:$L$104=$AI$7,"["&amp;'Pillar 4'!$C$5:$C$104&amp;"] "&amp;'Pillar 4'!$B$5:$B$104&amp;CHAR(10),""))</f>
        <v/>
      </c>
      <c r="AN8">
        <f t="array" ref="AN8">_xlfn.TEXTJOIN("",TRUE,IF('Tuan Buffer'!$L$5:$L$104=$AI$7,"["&amp;'Tuan Buffer'!$C$5:$C$104&amp;"] "&amp;'Tuan Buffer'!$B$5:$B$104&amp;CHAR(10),""))</f>
        <v/>
      </c>
      <c r="AO8">
        <f>IF(IFERROR(INDEX('Pillar 1'!$C$5:$C$104,MATCH($AI$7,'Pillar 1'!$L$5:$L$104,0)),"")&lt;&gt;"",IFERROR(INDEX('Pillar 1'!$C$5:$C$104,MATCH($AI$7,'Pillar 1'!$L$5:$L$104,0)),""),IF(IFERROR(INDEX('Pillar 2'!$C$5:$C$104,MATCH($AI$7,'Pillar 2'!$L$5:$L$104,0)),"")&lt;&gt;"",IFERROR(INDEX('Pillar 2'!$C$5:$C$104,MATCH($AI$7,'Pillar 2'!$L$5:$L$104,0)),""),IF(IFERROR(INDEX('Pillar 3'!$C$5:$C$104,MATCH($AI$7,'Pillar 3'!$L$5:$L$104,0)),"")&lt;&gt;"",IFERROR(INDEX('Pillar 3'!$C$5:$C$104,MATCH($AI$7,'Pillar 3'!$L$5:$L$104,0)),""),IF(IFERROR(INDEX('Pillar 4'!$C$5:$C$104,MATCH($AI$7,'Pillar 4'!$L$5:$L$104,0)),"")&lt;&gt;"",IFERROR(INDEX('Pillar 4'!$C$5:$C$104,MATCH($AI$7,'Pillar 4'!$L$5:$L$104,0)),""),IFERROR(INDEX('Tuan Buffer'!$C$5:$C$104,MATCH($AI$7,'Tuan Buffer'!$L$5:$L$104,0)),"")))))</f>
        <v/>
      </c>
      <c r="AP8">
        <f>IF(IFERROR(INDEX('Pillar 1'!$C$5:$C$104,MATCH($AI$7,'Pillar 1'!$L$5:$L$104,0)),"")&lt;&gt;"","'Pillar 1'!A"&amp;IFERROR(MATCH($AI$7,'Pillar 1'!$L$5:$L$104,0)+5-1,0),IF(IFERROR(INDEX('Pillar 2'!$C$5:$C$104,MATCH($AI$7,'Pillar 2'!$L$5:$L$104,0)),"")&lt;&gt;"","'Pillar 2'!A"&amp;IFERROR(MATCH($AI$7,'Pillar 2'!$L$5:$L$104,0)+5-1,0),IF(IFERROR(INDEX('Pillar 3'!$C$5:$C$104,MATCH($AI$7,'Pillar 3'!$L$5:$L$104,0)),"")&lt;&gt;"","'Pillar 3'!A"&amp;IFERROR(MATCH($AI$7,'Pillar 3'!$L$5:$L$104,0)+5-1,0),IF(IFERROR(INDEX('Pillar 4'!$C$5:$C$104,MATCH($AI$7,'Pillar 4'!$L$5:$L$104,0)),"")&lt;&gt;"","'Pillar 4'!A"&amp;IFERROR(MATCH($AI$7,'Pillar 4'!$L$5:$L$104,0)+5-1,0),"'Tuan Buffer'!A"&amp;IFERROR(MATCH($AI$7,'Tuan Buffer'!$L$5:$L$104,0)+5-1,0)))))</f>
        <v/>
      </c>
      <c r="AR8">
        <f t="array" ref="AR8">_xlfn.TEXTJOIN("",TRUE,IF('Pillar 1'!$L$5:$L$104=$AQ$7,"["&amp;'Pillar 1'!$C$5:$C$104&amp;"] "&amp;'Pillar 1'!$B$5:$B$104&amp;CHAR(10),""))</f>
        <v/>
      </c>
      <c r="AS8">
        <f t="array" ref="AS8">_xlfn.TEXTJOIN("",TRUE,IF('Pillar 2'!$L$5:$L$104=$AQ$7,"["&amp;'Pillar 2'!$C$5:$C$104&amp;"] "&amp;'Pillar 2'!$B$5:$B$104&amp;CHAR(10),""))</f>
        <v/>
      </c>
      <c r="AT8">
        <f t="array" ref="AT8">_xlfn.TEXTJOIN("",TRUE,IF('Pillar 3'!$L$5:$L$104=$AQ$7,"["&amp;'Pillar 3'!$C$5:$C$104&amp;"] "&amp;'Pillar 3'!$B$5:$B$104&amp;CHAR(10),""))</f>
        <v/>
      </c>
      <c r="AU8">
        <f t="array" ref="AU8">_xlfn.TEXTJOIN("",TRUE,IF('Pillar 4'!$L$5:$L$104=$AQ$7,"["&amp;'Pillar 4'!$C$5:$C$104&amp;"] "&amp;'Pillar 4'!$B$5:$B$104&amp;CHAR(10),""))</f>
        <v/>
      </c>
      <c r="AV8">
        <f t="array" ref="AV8">_xlfn.TEXTJOIN("",TRUE,IF('Tuan Buffer'!$L$5:$L$104=$AQ$7,"["&amp;'Tuan Buffer'!$C$5:$C$104&amp;"] "&amp;'Tuan Buffer'!$B$5:$B$104&amp;CHAR(10),""))</f>
        <v/>
      </c>
      <c r="AW8">
        <f>IF(IFERROR(INDEX('Pillar 1'!$C$5:$C$104,MATCH($AQ$7,'Pillar 1'!$L$5:$L$104,0)),"")&lt;&gt;"",IFERROR(INDEX('Pillar 1'!$C$5:$C$104,MATCH($AQ$7,'Pillar 1'!$L$5:$L$104,0)),""),IF(IFERROR(INDEX('Pillar 2'!$C$5:$C$104,MATCH($AQ$7,'Pillar 2'!$L$5:$L$104,0)),"")&lt;&gt;"",IFERROR(INDEX('Pillar 2'!$C$5:$C$104,MATCH($AQ$7,'Pillar 2'!$L$5:$L$104,0)),""),IF(IFERROR(INDEX('Pillar 3'!$C$5:$C$104,MATCH($AQ$7,'Pillar 3'!$L$5:$L$104,0)),"")&lt;&gt;"",IFERROR(INDEX('Pillar 3'!$C$5:$C$104,MATCH($AQ$7,'Pillar 3'!$L$5:$L$104,0)),""),IF(IFERROR(INDEX('Pillar 4'!$C$5:$C$104,MATCH($AQ$7,'Pillar 4'!$L$5:$L$104,0)),"")&lt;&gt;"",IFERROR(INDEX('Pillar 4'!$C$5:$C$104,MATCH($AQ$7,'Pillar 4'!$L$5:$L$104,0)),""),IFERROR(INDEX('Tuan Buffer'!$C$5:$C$104,MATCH($AQ$7,'Tuan Buffer'!$L$5:$L$104,0)),"")))))</f>
        <v/>
      </c>
      <c r="AX8">
        <f>IF(IFERROR(INDEX('Pillar 1'!$C$5:$C$104,MATCH($AQ$7,'Pillar 1'!$L$5:$L$104,0)),"")&lt;&gt;"","'Pillar 1'!A"&amp;IFERROR(MATCH($AQ$7,'Pillar 1'!$L$5:$L$104,0)+5-1,0),IF(IFERROR(INDEX('Pillar 2'!$C$5:$C$104,MATCH($AQ$7,'Pillar 2'!$L$5:$L$104,0)),"")&lt;&gt;"","'Pillar 2'!A"&amp;IFERROR(MATCH($AQ$7,'Pillar 2'!$L$5:$L$104,0)+5-1,0),IF(IFERROR(INDEX('Pillar 3'!$C$5:$C$104,MATCH($AQ$7,'Pillar 3'!$L$5:$L$104,0)),"")&lt;&gt;"","'Pillar 3'!A"&amp;IFERROR(MATCH($AQ$7,'Pillar 3'!$L$5:$L$104,0)+5-1,0),IF(IFERROR(INDEX('Pillar 4'!$C$5:$C$104,MATCH($AQ$7,'Pillar 4'!$L$5:$L$104,0)),"")&lt;&gt;"","'Pillar 4'!A"&amp;IFERROR(MATCH($AQ$7,'Pillar 4'!$L$5:$L$104,0)+5-1,0),"'Tuan Buffer'!A"&amp;IFERROR(MATCH($AQ$7,'Tuan Buffer'!$L$5:$L$104,0)+5-1,0)))))</f>
        <v/>
      </c>
      <c r="AZ8">
        <f t="array" ref="AZ8">_xlfn.TEXTJOIN("",TRUE,IF('Pillar 1'!$L$5:$L$104=$AY$7,"["&amp;'Pillar 1'!$C$5:$C$104&amp;"] "&amp;'Pillar 1'!$B$5:$B$104&amp;CHAR(10),""))</f>
        <v/>
      </c>
      <c r="BA8">
        <f t="array" ref="BA8">_xlfn.TEXTJOIN("",TRUE,IF('Pillar 2'!$L$5:$L$104=$AY$7,"["&amp;'Pillar 2'!$C$5:$C$104&amp;"] "&amp;'Pillar 2'!$B$5:$B$104&amp;CHAR(10),""))</f>
        <v/>
      </c>
      <c r="BB8">
        <f t="array" ref="BB8">_xlfn.TEXTJOIN("",TRUE,IF('Pillar 3'!$L$5:$L$104=$AY$7,"["&amp;'Pillar 3'!$C$5:$C$104&amp;"] "&amp;'Pillar 3'!$B$5:$B$104&amp;CHAR(10),""))</f>
        <v/>
      </c>
      <c r="BC8">
        <f t="array" ref="BC8">_xlfn.TEXTJOIN("",TRUE,IF('Pillar 4'!$L$5:$L$104=$AY$7,"["&amp;'Pillar 4'!$C$5:$C$104&amp;"] "&amp;'Pillar 4'!$B$5:$B$104&amp;CHAR(10),""))</f>
        <v/>
      </c>
      <c r="BD8">
        <f t="array" ref="BD8">_xlfn.TEXTJOIN("",TRUE,IF('Tuan Buffer'!$L$5:$L$104=$AY$7,"["&amp;'Tuan Buffer'!$C$5:$C$104&amp;"] "&amp;'Tuan Buffer'!$B$5:$B$104&amp;CHAR(10),""))</f>
        <v/>
      </c>
      <c r="BE8">
        <f>IF(IFERROR(INDEX('Pillar 1'!$C$5:$C$104,MATCH($AY$7,'Pillar 1'!$L$5:$L$104,0)),"")&lt;&gt;"",IFERROR(INDEX('Pillar 1'!$C$5:$C$104,MATCH($AY$7,'Pillar 1'!$L$5:$L$104,0)),""),IF(IFERROR(INDEX('Pillar 2'!$C$5:$C$104,MATCH($AY$7,'Pillar 2'!$L$5:$L$104,0)),"")&lt;&gt;"",IFERROR(INDEX('Pillar 2'!$C$5:$C$104,MATCH($AY$7,'Pillar 2'!$L$5:$L$104,0)),""),IF(IFERROR(INDEX('Pillar 3'!$C$5:$C$104,MATCH($AY$7,'Pillar 3'!$L$5:$L$104,0)),"")&lt;&gt;"",IFERROR(INDEX('Pillar 3'!$C$5:$C$104,MATCH($AY$7,'Pillar 3'!$L$5:$L$104,0)),""),IF(IFERROR(INDEX('Pillar 4'!$C$5:$C$104,MATCH($AY$7,'Pillar 4'!$L$5:$L$104,0)),"")&lt;&gt;"",IFERROR(INDEX('Pillar 4'!$C$5:$C$104,MATCH($AY$7,'Pillar 4'!$L$5:$L$104,0)),""),IFERROR(INDEX('Tuan Buffer'!$C$5:$C$104,MATCH($AY$7,'Tuan Buffer'!$L$5:$L$104,0)),"")))))</f>
        <v/>
      </c>
      <c r="BF8">
        <f>IF(IFERROR(INDEX('Pillar 1'!$C$5:$C$104,MATCH($AY$7,'Pillar 1'!$L$5:$L$104,0)),"")&lt;&gt;"","'Pillar 1'!A"&amp;IFERROR(MATCH($AY$7,'Pillar 1'!$L$5:$L$104,0)+5-1,0),IF(IFERROR(INDEX('Pillar 2'!$C$5:$C$104,MATCH($AY$7,'Pillar 2'!$L$5:$L$104,0)),"")&lt;&gt;"","'Pillar 2'!A"&amp;IFERROR(MATCH($AY$7,'Pillar 2'!$L$5:$L$104,0)+5-1,0),IF(IFERROR(INDEX('Pillar 3'!$C$5:$C$104,MATCH($AY$7,'Pillar 3'!$L$5:$L$104,0)),"")&lt;&gt;"","'Pillar 3'!A"&amp;IFERROR(MATCH($AY$7,'Pillar 3'!$L$5:$L$104,0)+5-1,0),IF(IFERROR(INDEX('Pillar 4'!$C$5:$C$104,MATCH($AY$7,'Pillar 4'!$L$5:$L$104,0)),"")&lt;&gt;"","'Pillar 4'!A"&amp;IFERROR(MATCH($AY$7,'Pillar 4'!$L$5:$L$104,0)+5-1,0),"'Tuan Buffer'!A"&amp;IFERROR(MATCH($AY$7,'Tuan Buffer'!$L$5:$L$104,0)+5-1,0)))))</f>
        <v/>
      </c>
      <c r="BH8">
        <f t="array" ref="BH8">_xlfn.TEXTJOIN("",TRUE,IF('Pillar 1'!$L$5:$L$104=$BG$7,"["&amp;'Pillar 1'!$C$5:$C$104&amp;"] "&amp;'Pillar 1'!$B$5:$B$104&amp;CHAR(10),""))</f>
        <v/>
      </c>
      <c r="BI8">
        <f t="array" ref="BI8">_xlfn.TEXTJOIN("",TRUE,IF('Pillar 2'!$L$5:$L$104=$BG$7,"["&amp;'Pillar 2'!$C$5:$C$104&amp;"] "&amp;'Pillar 2'!$B$5:$B$104&amp;CHAR(10),""))</f>
        <v/>
      </c>
      <c r="BJ8">
        <f t="array" ref="BJ8">_xlfn.TEXTJOIN("",TRUE,IF('Pillar 3'!$L$5:$L$104=$BG$7,"["&amp;'Pillar 3'!$C$5:$C$104&amp;"] "&amp;'Pillar 3'!$B$5:$B$104&amp;CHAR(10),""))</f>
        <v/>
      </c>
      <c r="BK8">
        <f t="array" ref="BK8">_xlfn.TEXTJOIN("",TRUE,IF('Pillar 4'!$L$5:$L$104=$BG$7,"["&amp;'Pillar 4'!$C$5:$C$104&amp;"] "&amp;'Pillar 4'!$B$5:$B$104&amp;CHAR(10),""))</f>
        <v/>
      </c>
      <c r="BL8">
        <f t="array" ref="BL8">_xlfn.TEXTJOIN("",TRUE,IF('Tuan Buffer'!$L$5:$L$104=$BG$7,"["&amp;'Tuan Buffer'!$C$5:$C$104&amp;"] "&amp;'Tuan Buffer'!$B$5:$B$104&amp;CHAR(10),""))</f>
        <v/>
      </c>
      <c r="BM8">
        <f>IF(IFERROR(INDEX('Pillar 1'!$C$5:$C$104,MATCH($BG$7,'Pillar 1'!$L$5:$L$104,0)),"")&lt;&gt;"",IFERROR(INDEX('Pillar 1'!$C$5:$C$104,MATCH($BG$7,'Pillar 1'!$L$5:$L$104,0)),""),IF(IFERROR(INDEX('Pillar 2'!$C$5:$C$104,MATCH($BG$7,'Pillar 2'!$L$5:$L$104,0)),"")&lt;&gt;"",IFERROR(INDEX('Pillar 2'!$C$5:$C$104,MATCH($BG$7,'Pillar 2'!$L$5:$L$104,0)),""),IF(IFERROR(INDEX('Pillar 3'!$C$5:$C$104,MATCH($BG$7,'Pillar 3'!$L$5:$L$104,0)),"")&lt;&gt;"",IFERROR(INDEX('Pillar 3'!$C$5:$C$104,MATCH($BG$7,'Pillar 3'!$L$5:$L$104,0)),""),IF(IFERROR(INDEX('Pillar 4'!$C$5:$C$104,MATCH($BG$7,'Pillar 4'!$L$5:$L$104,0)),"")&lt;&gt;"",IFERROR(INDEX('Pillar 4'!$C$5:$C$104,MATCH($BG$7,'Pillar 4'!$L$5:$L$104,0)),""),IFERROR(INDEX('Tuan Buffer'!$C$5:$C$104,MATCH($BG$7,'Tuan Buffer'!$L$5:$L$104,0)),"")))))</f>
        <v/>
      </c>
      <c r="BN8">
        <f>IF(IFERROR(INDEX('Pillar 1'!$C$5:$C$104,MATCH($BG$7,'Pillar 1'!$L$5:$L$104,0)),"")&lt;&gt;"","'Pillar 1'!A"&amp;IFERROR(MATCH($BG$7,'Pillar 1'!$L$5:$L$104,0)+5-1,0),IF(IFERROR(INDEX('Pillar 2'!$C$5:$C$104,MATCH($BG$7,'Pillar 2'!$L$5:$L$104,0)),"")&lt;&gt;"","'Pillar 2'!A"&amp;IFERROR(MATCH($BG$7,'Pillar 2'!$L$5:$L$104,0)+5-1,0),IF(IFERROR(INDEX('Pillar 3'!$C$5:$C$104,MATCH($BG$7,'Pillar 3'!$L$5:$L$104,0)),"")&lt;&gt;"","'Pillar 3'!A"&amp;IFERROR(MATCH($BG$7,'Pillar 3'!$L$5:$L$104,0)+5-1,0),IF(IFERROR(INDEX('Pillar 4'!$C$5:$C$104,MATCH($BG$7,'Pillar 4'!$L$5:$L$104,0)),"")&lt;&gt;"","'Pillar 4'!A"&amp;IFERROR(MATCH($BG$7,'Pillar 4'!$L$5:$L$104,0)+5-1,0),"'Tuan Buffer'!A"&amp;IFERROR(MATCH($BG$7,'Tuan Buffer'!$L$5:$L$104,0)+5-1,0)))))</f>
        <v/>
      </c>
    </row>
    <row r="9" ht="16" customHeight="1">
      <c r="A9" s="26" t="inlineStr">
        <is>
          <t>TUẦN 4
P4: [Điền tên chủ đề Pillar 4]</t>
        </is>
      </c>
      <c r="B9" s="27" t="n">
        <v>21</v>
      </c>
      <c r="C9" s="27" t="n">
        <v>22</v>
      </c>
      <c r="D9" s="27" t="n">
        <v>23</v>
      </c>
      <c r="E9" s="27" t="n">
        <v>24</v>
      </c>
      <c r="F9" s="27" t="n">
        <v>25</v>
      </c>
      <c r="G9" s="27" t="n">
        <v>26</v>
      </c>
      <c r="H9" s="27" t="n">
        <v>27</v>
      </c>
      <c r="K9" s="20" t="n">
        <v>46286</v>
      </c>
      <c r="S9" s="20" t="n">
        <v>46287</v>
      </c>
      <c r="AA9" s="20" t="n">
        <v>46288</v>
      </c>
      <c r="AI9" s="20" t="n">
        <v>46289</v>
      </c>
      <c r="AQ9" s="20" t="n">
        <v>46290</v>
      </c>
      <c r="AY9" s="20" t="n">
        <v>46291</v>
      </c>
      <c r="BG9" s="20" t="n">
        <v>46292</v>
      </c>
    </row>
    <row r="10" ht="62" customHeight="1">
      <c r="B10" s="21">
        <f>IF($Q$10="",TRIM($L$10&amp;$M$10&amp;$N$10&amp;$O$10&amp;$P$10),HYPERLINK("#"&amp;$R$10,TRIM($L$10&amp;$M$10&amp;$N$10&amp;$O$10&amp;$P$10)))</f>
        <v/>
      </c>
      <c r="C10" s="21">
        <f>IF($Y$10="",TRIM($T$10&amp;$U$10&amp;$V$10&amp;$W$10&amp;$X$10),HYPERLINK("#"&amp;$Z$10,TRIM($T$10&amp;$U$10&amp;$V$10&amp;$W$10&amp;$X$10)))</f>
        <v/>
      </c>
      <c r="D10" s="21">
        <f>IF($AG$10="",TRIM($AB$10&amp;$AC$10&amp;$AD$10&amp;$AE$10&amp;$AF$10),HYPERLINK("#"&amp;$AH$10,TRIM($AB$10&amp;$AC$10&amp;$AD$10&amp;$AE$10&amp;$AF$10)))</f>
        <v/>
      </c>
      <c r="E10" s="21">
        <f>IF($AO$10="",TRIM($AJ$10&amp;$AK$10&amp;$AL$10&amp;$AM$10&amp;$AN$10),HYPERLINK("#"&amp;$AP$10,TRIM($AJ$10&amp;$AK$10&amp;$AL$10&amp;$AM$10&amp;$AN$10)))</f>
        <v/>
      </c>
      <c r="F10" s="21">
        <f>IF($AW$10="",TRIM($AR$10&amp;$AS$10&amp;$AT$10&amp;$AU$10&amp;$AV$10),HYPERLINK("#"&amp;$AX$10,TRIM($AR$10&amp;$AS$10&amp;$AT$10&amp;$AU$10&amp;$AV$10)))</f>
        <v/>
      </c>
      <c r="G10" s="21">
        <f>IF($BE$10="",TRIM($AZ$10&amp;$BA$10&amp;$BB$10&amp;$BC$10&amp;$BD$10),HYPERLINK("#"&amp;$BF$10,TRIM($AZ$10&amp;$BA$10&amp;$BB$10&amp;$BC$10&amp;$BD$10)))</f>
        <v/>
      </c>
      <c r="H10" s="21">
        <f>IF($BM$10="",TRIM($BH$10&amp;$BI$10&amp;$BJ$10&amp;$BK$10&amp;$BL$10),HYPERLINK("#"&amp;$BN$10,TRIM($BH$10&amp;$BI$10&amp;$BJ$10&amp;$BK$10&amp;$BL$10)))</f>
        <v/>
      </c>
      <c r="L10">
        <f t="array" ref="L10">_xlfn.TEXTJOIN("",TRUE,IF('Pillar 1'!$L$5:$L$104=$K$9,"["&amp;'Pillar 1'!$C$5:$C$104&amp;"] "&amp;'Pillar 1'!$B$5:$B$104&amp;CHAR(10),""))</f>
        <v/>
      </c>
      <c r="M10">
        <f t="array" ref="M10">_xlfn.TEXTJOIN("",TRUE,IF('Pillar 2'!$L$5:$L$104=$K$9,"["&amp;'Pillar 2'!$C$5:$C$104&amp;"] "&amp;'Pillar 2'!$B$5:$B$104&amp;CHAR(10),""))</f>
        <v/>
      </c>
      <c r="N10">
        <f t="array" ref="N10">_xlfn.TEXTJOIN("",TRUE,IF('Pillar 3'!$L$5:$L$104=$K$9,"["&amp;'Pillar 3'!$C$5:$C$104&amp;"] "&amp;'Pillar 3'!$B$5:$B$104&amp;CHAR(10),""))</f>
        <v/>
      </c>
      <c r="O10">
        <f t="array" ref="O10">_xlfn.TEXTJOIN("",TRUE,IF('Pillar 4'!$L$5:$L$104=$K$9,"["&amp;'Pillar 4'!$C$5:$C$104&amp;"] "&amp;'Pillar 4'!$B$5:$B$104&amp;CHAR(10),""))</f>
        <v/>
      </c>
      <c r="P10">
        <f t="array" ref="P10">_xlfn.TEXTJOIN("",TRUE,IF('Tuan Buffer'!$L$5:$L$104=$K$9,"["&amp;'Tuan Buffer'!$C$5:$C$104&amp;"] "&amp;'Tuan Buffer'!$B$5:$B$104&amp;CHAR(10),""))</f>
        <v/>
      </c>
      <c r="Q10">
        <f>IF(IFERROR(INDEX('Pillar 1'!$C$5:$C$104,MATCH($K$9,'Pillar 1'!$L$5:$L$104,0)),"")&lt;&gt;"",IFERROR(INDEX('Pillar 1'!$C$5:$C$104,MATCH($K$9,'Pillar 1'!$L$5:$L$104,0)),""),IF(IFERROR(INDEX('Pillar 2'!$C$5:$C$104,MATCH($K$9,'Pillar 2'!$L$5:$L$104,0)),"")&lt;&gt;"",IFERROR(INDEX('Pillar 2'!$C$5:$C$104,MATCH($K$9,'Pillar 2'!$L$5:$L$104,0)),""),IF(IFERROR(INDEX('Pillar 3'!$C$5:$C$104,MATCH($K$9,'Pillar 3'!$L$5:$L$104,0)),"")&lt;&gt;"",IFERROR(INDEX('Pillar 3'!$C$5:$C$104,MATCH($K$9,'Pillar 3'!$L$5:$L$104,0)),""),IF(IFERROR(INDEX('Pillar 4'!$C$5:$C$104,MATCH($K$9,'Pillar 4'!$L$5:$L$104,0)),"")&lt;&gt;"",IFERROR(INDEX('Pillar 4'!$C$5:$C$104,MATCH($K$9,'Pillar 4'!$L$5:$L$104,0)),""),IFERROR(INDEX('Tuan Buffer'!$C$5:$C$104,MATCH($K$9,'Tuan Buffer'!$L$5:$L$104,0)),"")))))</f>
        <v/>
      </c>
      <c r="R10">
        <f>IF(IFERROR(INDEX('Pillar 1'!$C$5:$C$104,MATCH($K$9,'Pillar 1'!$L$5:$L$104,0)),"")&lt;&gt;"","'Pillar 1'!A"&amp;IFERROR(MATCH($K$9,'Pillar 1'!$L$5:$L$104,0)+5-1,0),IF(IFERROR(INDEX('Pillar 2'!$C$5:$C$104,MATCH($K$9,'Pillar 2'!$L$5:$L$104,0)),"")&lt;&gt;"","'Pillar 2'!A"&amp;IFERROR(MATCH($K$9,'Pillar 2'!$L$5:$L$104,0)+5-1,0),IF(IFERROR(INDEX('Pillar 3'!$C$5:$C$104,MATCH($K$9,'Pillar 3'!$L$5:$L$104,0)),"")&lt;&gt;"","'Pillar 3'!A"&amp;IFERROR(MATCH($K$9,'Pillar 3'!$L$5:$L$104,0)+5-1,0),IF(IFERROR(INDEX('Pillar 4'!$C$5:$C$104,MATCH($K$9,'Pillar 4'!$L$5:$L$104,0)),"")&lt;&gt;"","'Pillar 4'!A"&amp;IFERROR(MATCH($K$9,'Pillar 4'!$L$5:$L$104,0)+5-1,0),"'Tuan Buffer'!A"&amp;IFERROR(MATCH($K$9,'Tuan Buffer'!$L$5:$L$104,0)+5-1,0)))))</f>
        <v/>
      </c>
      <c r="T10">
        <f t="array" ref="T10">_xlfn.TEXTJOIN("",TRUE,IF('Pillar 1'!$L$5:$L$104=$S$9,"["&amp;'Pillar 1'!$C$5:$C$104&amp;"] "&amp;'Pillar 1'!$B$5:$B$104&amp;CHAR(10),""))</f>
        <v/>
      </c>
      <c r="U10">
        <f t="array" ref="U10">_xlfn.TEXTJOIN("",TRUE,IF('Pillar 2'!$L$5:$L$104=$S$9,"["&amp;'Pillar 2'!$C$5:$C$104&amp;"] "&amp;'Pillar 2'!$B$5:$B$104&amp;CHAR(10),""))</f>
        <v/>
      </c>
      <c r="V10">
        <f t="array" ref="V10">_xlfn.TEXTJOIN("",TRUE,IF('Pillar 3'!$L$5:$L$104=$S$9,"["&amp;'Pillar 3'!$C$5:$C$104&amp;"] "&amp;'Pillar 3'!$B$5:$B$104&amp;CHAR(10),""))</f>
        <v/>
      </c>
      <c r="W10">
        <f t="array" ref="W10">_xlfn.TEXTJOIN("",TRUE,IF('Pillar 4'!$L$5:$L$104=$S$9,"["&amp;'Pillar 4'!$C$5:$C$104&amp;"] "&amp;'Pillar 4'!$B$5:$B$104&amp;CHAR(10),""))</f>
        <v/>
      </c>
      <c r="X10">
        <f t="array" ref="X10">_xlfn.TEXTJOIN("",TRUE,IF('Tuan Buffer'!$L$5:$L$104=$S$9,"["&amp;'Tuan Buffer'!$C$5:$C$104&amp;"] "&amp;'Tuan Buffer'!$B$5:$B$104&amp;CHAR(10),""))</f>
        <v/>
      </c>
      <c r="Y10">
        <f>IF(IFERROR(INDEX('Pillar 1'!$C$5:$C$104,MATCH($S$9,'Pillar 1'!$L$5:$L$104,0)),"")&lt;&gt;"",IFERROR(INDEX('Pillar 1'!$C$5:$C$104,MATCH($S$9,'Pillar 1'!$L$5:$L$104,0)),""),IF(IFERROR(INDEX('Pillar 2'!$C$5:$C$104,MATCH($S$9,'Pillar 2'!$L$5:$L$104,0)),"")&lt;&gt;"",IFERROR(INDEX('Pillar 2'!$C$5:$C$104,MATCH($S$9,'Pillar 2'!$L$5:$L$104,0)),""),IF(IFERROR(INDEX('Pillar 3'!$C$5:$C$104,MATCH($S$9,'Pillar 3'!$L$5:$L$104,0)),"")&lt;&gt;"",IFERROR(INDEX('Pillar 3'!$C$5:$C$104,MATCH($S$9,'Pillar 3'!$L$5:$L$104,0)),""),IF(IFERROR(INDEX('Pillar 4'!$C$5:$C$104,MATCH($S$9,'Pillar 4'!$L$5:$L$104,0)),"")&lt;&gt;"",IFERROR(INDEX('Pillar 4'!$C$5:$C$104,MATCH($S$9,'Pillar 4'!$L$5:$L$104,0)),""),IFERROR(INDEX('Tuan Buffer'!$C$5:$C$104,MATCH($S$9,'Tuan Buffer'!$L$5:$L$104,0)),"")))))</f>
        <v/>
      </c>
      <c r="Z10">
        <f>IF(IFERROR(INDEX('Pillar 1'!$C$5:$C$104,MATCH($S$9,'Pillar 1'!$L$5:$L$104,0)),"")&lt;&gt;"","'Pillar 1'!A"&amp;IFERROR(MATCH($S$9,'Pillar 1'!$L$5:$L$104,0)+5-1,0),IF(IFERROR(INDEX('Pillar 2'!$C$5:$C$104,MATCH($S$9,'Pillar 2'!$L$5:$L$104,0)),"")&lt;&gt;"","'Pillar 2'!A"&amp;IFERROR(MATCH($S$9,'Pillar 2'!$L$5:$L$104,0)+5-1,0),IF(IFERROR(INDEX('Pillar 3'!$C$5:$C$104,MATCH($S$9,'Pillar 3'!$L$5:$L$104,0)),"")&lt;&gt;"","'Pillar 3'!A"&amp;IFERROR(MATCH($S$9,'Pillar 3'!$L$5:$L$104,0)+5-1,0),IF(IFERROR(INDEX('Pillar 4'!$C$5:$C$104,MATCH($S$9,'Pillar 4'!$L$5:$L$104,0)),"")&lt;&gt;"","'Pillar 4'!A"&amp;IFERROR(MATCH($S$9,'Pillar 4'!$L$5:$L$104,0)+5-1,0),"'Tuan Buffer'!A"&amp;IFERROR(MATCH($S$9,'Tuan Buffer'!$L$5:$L$104,0)+5-1,0)))))</f>
        <v/>
      </c>
      <c r="AB10">
        <f t="array" ref="AB10">_xlfn.TEXTJOIN("",TRUE,IF('Pillar 1'!$L$5:$L$104=$AA$9,"["&amp;'Pillar 1'!$C$5:$C$104&amp;"] "&amp;'Pillar 1'!$B$5:$B$104&amp;CHAR(10),""))</f>
        <v/>
      </c>
      <c r="AC10">
        <f t="array" ref="AC10">_xlfn.TEXTJOIN("",TRUE,IF('Pillar 2'!$L$5:$L$104=$AA$9,"["&amp;'Pillar 2'!$C$5:$C$104&amp;"] "&amp;'Pillar 2'!$B$5:$B$104&amp;CHAR(10),""))</f>
        <v/>
      </c>
      <c r="AD10">
        <f t="array" ref="AD10">_xlfn.TEXTJOIN("",TRUE,IF('Pillar 3'!$L$5:$L$104=$AA$9,"["&amp;'Pillar 3'!$C$5:$C$104&amp;"] "&amp;'Pillar 3'!$B$5:$B$104&amp;CHAR(10),""))</f>
        <v/>
      </c>
      <c r="AE10">
        <f t="array" ref="AE10">_xlfn.TEXTJOIN("",TRUE,IF('Pillar 4'!$L$5:$L$104=$AA$9,"["&amp;'Pillar 4'!$C$5:$C$104&amp;"] "&amp;'Pillar 4'!$B$5:$B$104&amp;CHAR(10),""))</f>
        <v/>
      </c>
      <c r="AF10">
        <f t="array" ref="AF10">_xlfn.TEXTJOIN("",TRUE,IF('Tuan Buffer'!$L$5:$L$104=$AA$9,"["&amp;'Tuan Buffer'!$C$5:$C$104&amp;"] "&amp;'Tuan Buffer'!$B$5:$B$104&amp;CHAR(10),""))</f>
        <v/>
      </c>
      <c r="AG10">
        <f>IF(IFERROR(INDEX('Pillar 1'!$C$5:$C$104,MATCH($AA$9,'Pillar 1'!$L$5:$L$104,0)),"")&lt;&gt;"",IFERROR(INDEX('Pillar 1'!$C$5:$C$104,MATCH($AA$9,'Pillar 1'!$L$5:$L$104,0)),""),IF(IFERROR(INDEX('Pillar 2'!$C$5:$C$104,MATCH($AA$9,'Pillar 2'!$L$5:$L$104,0)),"")&lt;&gt;"",IFERROR(INDEX('Pillar 2'!$C$5:$C$104,MATCH($AA$9,'Pillar 2'!$L$5:$L$104,0)),""),IF(IFERROR(INDEX('Pillar 3'!$C$5:$C$104,MATCH($AA$9,'Pillar 3'!$L$5:$L$104,0)),"")&lt;&gt;"",IFERROR(INDEX('Pillar 3'!$C$5:$C$104,MATCH($AA$9,'Pillar 3'!$L$5:$L$104,0)),""),IF(IFERROR(INDEX('Pillar 4'!$C$5:$C$104,MATCH($AA$9,'Pillar 4'!$L$5:$L$104,0)),"")&lt;&gt;"",IFERROR(INDEX('Pillar 4'!$C$5:$C$104,MATCH($AA$9,'Pillar 4'!$L$5:$L$104,0)),""),IFERROR(INDEX('Tuan Buffer'!$C$5:$C$104,MATCH($AA$9,'Tuan Buffer'!$L$5:$L$104,0)),"")))))</f>
        <v/>
      </c>
      <c r="AH10">
        <f>IF(IFERROR(INDEX('Pillar 1'!$C$5:$C$104,MATCH($AA$9,'Pillar 1'!$L$5:$L$104,0)),"")&lt;&gt;"","'Pillar 1'!A"&amp;IFERROR(MATCH($AA$9,'Pillar 1'!$L$5:$L$104,0)+5-1,0),IF(IFERROR(INDEX('Pillar 2'!$C$5:$C$104,MATCH($AA$9,'Pillar 2'!$L$5:$L$104,0)),"")&lt;&gt;"","'Pillar 2'!A"&amp;IFERROR(MATCH($AA$9,'Pillar 2'!$L$5:$L$104,0)+5-1,0),IF(IFERROR(INDEX('Pillar 3'!$C$5:$C$104,MATCH($AA$9,'Pillar 3'!$L$5:$L$104,0)),"")&lt;&gt;"","'Pillar 3'!A"&amp;IFERROR(MATCH($AA$9,'Pillar 3'!$L$5:$L$104,0)+5-1,0),IF(IFERROR(INDEX('Pillar 4'!$C$5:$C$104,MATCH($AA$9,'Pillar 4'!$L$5:$L$104,0)),"")&lt;&gt;"","'Pillar 4'!A"&amp;IFERROR(MATCH($AA$9,'Pillar 4'!$L$5:$L$104,0)+5-1,0),"'Tuan Buffer'!A"&amp;IFERROR(MATCH($AA$9,'Tuan Buffer'!$L$5:$L$104,0)+5-1,0)))))</f>
        <v/>
      </c>
      <c r="AJ10">
        <f t="array" ref="AJ10">_xlfn.TEXTJOIN("",TRUE,IF('Pillar 1'!$L$5:$L$104=$AI$9,"["&amp;'Pillar 1'!$C$5:$C$104&amp;"] "&amp;'Pillar 1'!$B$5:$B$104&amp;CHAR(10),""))</f>
        <v/>
      </c>
      <c r="AK10">
        <f t="array" ref="AK10">_xlfn.TEXTJOIN("",TRUE,IF('Pillar 2'!$L$5:$L$104=$AI$9,"["&amp;'Pillar 2'!$C$5:$C$104&amp;"] "&amp;'Pillar 2'!$B$5:$B$104&amp;CHAR(10),""))</f>
        <v/>
      </c>
      <c r="AL10">
        <f t="array" ref="AL10">_xlfn.TEXTJOIN("",TRUE,IF('Pillar 3'!$L$5:$L$104=$AI$9,"["&amp;'Pillar 3'!$C$5:$C$104&amp;"] "&amp;'Pillar 3'!$B$5:$B$104&amp;CHAR(10),""))</f>
        <v/>
      </c>
      <c r="AM10">
        <f t="array" ref="AM10">_xlfn.TEXTJOIN("",TRUE,IF('Pillar 4'!$L$5:$L$104=$AI$9,"["&amp;'Pillar 4'!$C$5:$C$104&amp;"] "&amp;'Pillar 4'!$B$5:$B$104&amp;CHAR(10),""))</f>
        <v/>
      </c>
      <c r="AN10">
        <f t="array" ref="AN10">_xlfn.TEXTJOIN("",TRUE,IF('Tuan Buffer'!$L$5:$L$104=$AI$9,"["&amp;'Tuan Buffer'!$C$5:$C$104&amp;"] "&amp;'Tuan Buffer'!$B$5:$B$104&amp;CHAR(10),""))</f>
        <v/>
      </c>
      <c r="AO10">
        <f>IF(IFERROR(INDEX('Pillar 1'!$C$5:$C$104,MATCH($AI$9,'Pillar 1'!$L$5:$L$104,0)),"")&lt;&gt;"",IFERROR(INDEX('Pillar 1'!$C$5:$C$104,MATCH($AI$9,'Pillar 1'!$L$5:$L$104,0)),""),IF(IFERROR(INDEX('Pillar 2'!$C$5:$C$104,MATCH($AI$9,'Pillar 2'!$L$5:$L$104,0)),"")&lt;&gt;"",IFERROR(INDEX('Pillar 2'!$C$5:$C$104,MATCH($AI$9,'Pillar 2'!$L$5:$L$104,0)),""),IF(IFERROR(INDEX('Pillar 3'!$C$5:$C$104,MATCH($AI$9,'Pillar 3'!$L$5:$L$104,0)),"")&lt;&gt;"",IFERROR(INDEX('Pillar 3'!$C$5:$C$104,MATCH($AI$9,'Pillar 3'!$L$5:$L$104,0)),""),IF(IFERROR(INDEX('Pillar 4'!$C$5:$C$104,MATCH($AI$9,'Pillar 4'!$L$5:$L$104,0)),"")&lt;&gt;"",IFERROR(INDEX('Pillar 4'!$C$5:$C$104,MATCH($AI$9,'Pillar 4'!$L$5:$L$104,0)),""),IFERROR(INDEX('Tuan Buffer'!$C$5:$C$104,MATCH($AI$9,'Tuan Buffer'!$L$5:$L$104,0)),"")))))</f>
        <v/>
      </c>
      <c r="AP10">
        <f>IF(IFERROR(INDEX('Pillar 1'!$C$5:$C$104,MATCH($AI$9,'Pillar 1'!$L$5:$L$104,0)),"")&lt;&gt;"","'Pillar 1'!A"&amp;IFERROR(MATCH($AI$9,'Pillar 1'!$L$5:$L$104,0)+5-1,0),IF(IFERROR(INDEX('Pillar 2'!$C$5:$C$104,MATCH($AI$9,'Pillar 2'!$L$5:$L$104,0)),"")&lt;&gt;"","'Pillar 2'!A"&amp;IFERROR(MATCH($AI$9,'Pillar 2'!$L$5:$L$104,0)+5-1,0),IF(IFERROR(INDEX('Pillar 3'!$C$5:$C$104,MATCH($AI$9,'Pillar 3'!$L$5:$L$104,0)),"")&lt;&gt;"","'Pillar 3'!A"&amp;IFERROR(MATCH($AI$9,'Pillar 3'!$L$5:$L$104,0)+5-1,0),IF(IFERROR(INDEX('Pillar 4'!$C$5:$C$104,MATCH($AI$9,'Pillar 4'!$L$5:$L$104,0)),"")&lt;&gt;"","'Pillar 4'!A"&amp;IFERROR(MATCH($AI$9,'Pillar 4'!$L$5:$L$104,0)+5-1,0),"'Tuan Buffer'!A"&amp;IFERROR(MATCH($AI$9,'Tuan Buffer'!$L$5:$L$104,0)+5-1,0)))))</f>
        <v/>
      </c>
      <c r="AR10">
        <f t="array" ref="AR10">_xlfn.TEXTJOIN("",TRUE,IF('Pillar 1'!$L$5:$L$104=$AQ$9,"["&amp;'Pillar 1'!$C$5:$C$104&amp;"] "&amp;'Pillar 1'!$B$5:$B$104&amp;CHAR(10),""))</f>
        <v/>
      </c>
      <c r="AS10">
        <f t="array" ref="AS10">_xlfn.TEXTJOIN("",TRUE,IF('Pillar 2'!$L$5:$L$104=$AQ$9,"["&amp;'Pillar 2'!$C$5:$C$104&amp;"] "&amp;'Pillar 2'!$B$5:$B$104&amp;CHAR(10),""))</f>
        <v/>
      </c>
      <c r="AT10">
        <f t="array" ref="AT10">_xlfn.TEXTJOIN("",TRUE,IF('Pillar 3'!$L$5:$L$104=$AQ$9,"["&amp;'Pillar 3'!$C$5:$C$104&amp;"] "&amp;'Pillar 3'!$B$5:$B$104&amp;CHAR(10),""))</f>
        <v/>
      </c>
      <c r="AU10">
        <f t="array" ref="AU10">_xlfn.TEXTJOIN("",TRUE,IF('Pillar 4'!$L$5:$L$104=$AQ$9,"["&amp;'Pillar 4'!$C$5:$C$104&amp;"] "&amp;'Pillar 4'!$B$5:$B$104&amp;CHAR(10),""))</f>
        <v/>
      </c>
      <c r="AV10">
        <f t="array" ref="AV10">_xlfn.TEXTJOIN("",TRUE,IF('Tuan Buffer'!$L$5:$L$104=$AQ$9,"["&amp;'Tuan Buffer'!$C$5:$C$104&amp;"] "&amp;'Tuan Buffer'!$B$5:$B$104&amp;CHAR(10),""))</f>
        <v/>
      </c>
      <c r="AW10">
        <f>IF(IFERROR(INDEX('Pillar 1'!$C$5:$C$104,MATCH($AQ$9,'Pillar 1'!$L$5:$L$104,0)),"")&lt;&gt;"",IFERROR(INDEX('Pillar 1'!$C$5:$C$104,MATCH($AQ$9,'Pillar 1'!$L$5:$L$104,0)),""),IF(IFERROR(INDEX('Pillar 2'!$C$5:$C$104,MATCH($AQ$9,'Pillar 2'!$L$5:$L$104,0)),"")&lt;&gt;"",IFERROR(INDEX('Pillar 2'!$C$5:$C$104,MATCH($AQ$9,'Pillar 2'!$L$5:$L$104,0)),""),IF(IFERROR(INDEX('Pillar 3'!$C$5:$C$104,MATCH($AQ$9,'Pillar 3'!$L$5:$L$104,0)),"")&lt;&gt;"",IFERROR(INDEX('Pillar 3'!$C$5:$C$104,MATCH($AQ$9,'Pillar 3'!$L$5:$L$104,0)),""),IF(IFERROR(INDEX('Pillar 4'!$C$5:$C$104,MATCH($AQ$9,'Pillar 4'!$L$5:$L$104,0)),"")&lt;&gt;"",IFERROR(INDEX('Pillar 4'!$C$5:$C$104,MATCH($AQ$9,'Pillar 4'!$L$5:$L$104,0)),""),IFERROR(INDEX('Tuan Buffer'!$C$5:$C$104,MATCH($AQ$9,'Tuan Buffer'!$L$5:$L$104,0)),"")))))</f>
        <v/>
      </c>
      <c r="AX10">
        <f>IF(IFERROR(INDEX('Pillar 1'!$C$5:$C$104,MATCH($AQ$9,'Pillar 1'!$L$5:$L$104,0)),"")&lt;&gt;"","'Pillar 1'!A"&amp;IFERROR(MATCH($AQ$9,'Pillar 1'!$L$5:$L$104,0)+5-1,0),IF(IFERROR(INDEX('Pillar 2'!$C$5:$C$104,MATCH($AQ$9,'Pillar 2'!$L$5:$L$104,0)),"")&lt;&gt;"","'Pillar 2'!A"&amp;IFERROR(MATCH($AQ$9,'Pillar 2'!$L$5:$L$104,0)+5-1,0),IF(IFERROR(INDEX('Pillar 3'!$C$5:$C$104,MATCH($AQ$9,'Pillar 3'!$L$5:$L$104,0)),"")&lt;&gt;"","'Pillar 3'!A"&amp;IFERROR(MATCH($AQ$9,'Pillar 3'!$L$5:$L$104,0)+5-1,0),IF(IFERROR(INDEX('Pillar 4'!$C$5:$C$104,MATCH($AQ$9,'Pillar 4'!$L$5:$L$104,0)),"")&lt;&gt;"","'Pillar 4'!A"&amp;IFERROR(MATCH($AQ$9,'Pillar 4'!$L$5:$L$104,0)+5-1,0),"'Tuan Buffer'!A"&amp;IFERROR(MATCH($AQ$9,'Tuan Buffer'!$L$5:$L$104,0)+5-1,0)))))</f>
        <v/>
      </c>
      <c r="AZ10">
        <f t="array" ref="AZ10">_xlfn.TEXTJOIN("",TRUE,IF('Pillar 1'!$L$5:$L$104=$AY$9,"["&amp;'Pillar 1'!$C$5:$C$104&amp;"] "&amp;'Pillar 1'!$B$5:$B$104&amp;CHAR(10),""))</f>
        <v/>
      </c>
      <c r="BA10">
        <f t="array" ref="BA10">_xlfn.TEXTJOIN("",TRUE,IF('Pillar 2'!$L$5:$L$104=$AY$9,"["&amp;'Pillar 2'!$C$5:$C$104&amp;"] "&amp;'Pillar 2'!$B$5:$B$104&amp;CHAR(10),""))</f>
        <v/>
      </c>
      <c r="BB10">
        <f t="array" ref="BB10">_xlfn.TEXTJOIN("",TRUE,IF('Pillar 3'!$L$5:$L$104=$AY$9,"["&amp;'Pillar 3'!$C$5:$C$104&amp;"] "&amp;'Pillar 3'!$B$5:$B$104&amp;CHAR(10),""))</f>
        <v/>
      </c>
      <c r="BC10">
        <f t="array" ref="BC10">_xlfn.TEXTJOIN("",TRUE,IF('Pillar 4'!$L$5:$L$104=$AY$9,"["&amp;'Pillar 4'!$C$5:$C$104&amp;"] "&amp;'Pillar 4'!$B$5:$B$104&amp;CHAR(10),""))</f>
        <v/>
      </c>
      <c r="BD10">
        <f t="array" ref="BD10">_xlfn.TEXTJOIN("",TRUE,IF('Tuan Buffer'!$L$5:$L$104=$AY$9,"["&amp;'Tuan Buffer'!$C$5:$C$104&amp;"] "&amp;'Tuan Buffer'!$B$5:$B$104&amp;CHAR(10),""))</f>
        <v/>
      </c>
      <c r="BE10">
        <f>IF(IFERROR(INDEX('Pillar 1'!$C$5:$C$104,MATCH($AY$9,'Pillar 1'!$L$5:$L$104,0)),"")&lt;&gt;"",IFERROR(INDEX('Pillar 1'!$C$5:$C$104,MATCH($AY$9,'Pillar 1'!$L$5:$L$104,0)),""),IF(IFERROR(INDEX('Pillar 2'!$C$5:$C$104,MATCH($AY$9,'Pillar 2'!$L$5:$L$104,0)),"")&lt;&gt;"",IFERROR(INDEX('Pillar 2'!$C$5:$C$104,MATCH($AY$9,'Pillar 2'!$L$5:$L$104,0)),""),IF(IFERROR(INDEX('Pillar 3'!$C$5:$C$104,MATCH($AY$9,'Pillar 3'!$L$5:$L$104,0)),"")&lt;&gt;"",IFERROR(INDEX('Pillar 3'!$C$5:$C$104,MATCH($AY$9,'Pillar 3'!$L$5:$L$104,0)),""),IF(IFERROR(INDEX('Pillar 4'!$C$5:$C$104,MATCH($AY$9,'Pillar 4'!$L$5:$L$104,0)),"")&lt;&gt;"",IFERROR(INDEX('Pillar 4'!$C$5:$C$104,MATCH($AY$9,'Pillar 4'!$L$5:$L$104,0)),""),IFERROR(INDEX('Tuan Buffer'!$C$5:$C$104,MATCH($AY$9,'Tuan Buffer'!$L$5:$L$104,0)),"")))))</f>
        <v/>
      </c>
      <c r="BF10">
        <f>IF(IFERROR(INDEX('Pillar 1'!$C$5:$C$104,MATCH($AY$9,'Pillar 1'!$L$5:$L$104,0)),"")&lt;&gt;"","'Pillar 1'!A"&amp;IFERROR(MATCH($AY$9,'Pillar 1'!$L$5:$L$104,0)+5-1,0),IF(IFERROR(INDEX('Pillar 2'!$C$5:$C$104,MATCH($AY$9,'Pillar 2'!$L$5:$L$104,0)),"")&lt;&gt;"","'Pillar 2'!A"&amp;IFERROR(MATCH($AY$9,'Pillar 2'!$L$5:$L$104,0)+5-1,0),IF(IFERROR(INDEX('Pillar 3'!$C$5:$C$104,MATCH($AY$9,'Pillar 3'!$L$5:$L$104,0)),"")&lt;&gt;"","'Pillar 3'!A"&amp;IFERROR(MATCH($AY$9,'Pillar 3'!$L$5:$L$104,0)+5-1,0),IF(IFERROR(INDEX('Pillar 4'!$C$5:$C$104,MATCH($AY$9,'Pillar 4'!$L$5:$L$104,0)),"")&lt;&gt;"","'Pillar 4'!A"&amp;IFERROR(MATCH($AY$9,'Pillar 4'!$L$5:$L$104,0)+5-1,0),"'Tuan Buffer'!A"&amp;IFERROR(MATCH($AY$9,'Tuan Buffer'!$L$5:$L$104,0)+5-1,0)))))</f>
        <v/>
      </c>
      <c r="BH10">
        <f t="array" ref="BH10">_xlfn.TEXTJOIN("",TRUE,IF('Pillar 1'!$L$5:$L$104=$BG$9,"["&amp;'Pillar 1'!$C$5:$C$104&amp;"] "&amp;'Pillar 1'!$B$5:$B$104&amp;CHAR(10),""))</f>
        <v/>
      </c>
      <c r="BI10">
        <f t="array" ref="BI10">_xlfn.TEXTJOIN("",TRUE,IF('Pillar 2'!$L$5:$L$104=$BG$9,"["&amp;'Pillar 2'!$C$5:$C$104&amp;"] "&amp;'Pillar 2'!$B$5:$B$104&amp;CHAR(10),""))</f>
        <v/>
      </c>
      <c r="BJ10">
        <f t="array" ref="BJ10">_xlfn.TEXTJOIN("",TRUE,IF('Pillar 3'!$L$5:$L$104=$BG$9,"["&amp;'Pillar 3'!$C$5:$C$104&amp;"] "&amp;'Pillar 3'!$B$5:$B$104&amp;CHAR(10),""))</f>
        <v/>
      </c>
      <c r="BK10">
        <f t="array" ref="BK10">_xlfn.TEXTJOIN("",TRUE,IF('Pillar 4'!$L$5:$L$104=$BG$9,"["&amp;'Pillar 4'!$C$5:$C$104&amp;"] "&amp;'Pillar 4'!$B$5:$B$104&amp;CHAR(10),""))</f>
        <v/>
      </c>
      <c r="BL10">
        <f t="array" ref="BL10">_xlfn.TEXTJOIN("",TRUE,IF('Tuan Buffer'!$L$5:$L$104=$BG$9,"["&amp;'Tuan Buffer'!$C$5:$C$104&amp;"] "&amp;'Tuan Buffer'!$B$5:$B$104&amp;CHAR(10),""))</f>
        <v/>
      </c>
      <c r="BM10">
        <f>IF(IFERROR(INDEX('Pillar 1'!$C$5:$C$104,MATCH($BG$9,'Pillar 1'!$L$5:$L$104,0)),"")&lt;&gt;"",IFERROR(INDEX('Pillar 1'!$C$5:$C$104,MATCH($BG$9,'Pillar 1'!$L$5:$L$104,0)),""),IF(IFERROR(INDEX('Pillar 2'!$C$5:$C$104,MATCH($BG$9,'Pillar 2'!$L$5:$L$104,0)),"")&lt;&gt;"",IFERROR(INDEX('Pillar 2'!$C$5:$C$104,MATCH($BG$9,'Pillar 2'!$L$5:$L$104,0)),""),IF(IFERROR(INDEX('Pillar 3'!$C$5:$C$104,MATCH($BG$9,'Pillar 3'!$L$5:$L$104,0)),"")&lt;&gt;"",IFERROR(INDEX('Pillar 3'!$C$5:$C$104,MATCH($BG$9,'Pillar 3'!$L$5:$L$104,0)),""),IF(IFERROR(INDEX('Pillar 4'!$C$5:$C$104,MATCH($BG$9,'Pillar 4'!$L$5:$L$104,0)),"")&lt;&gt;"",IFERROR(INDEX('Pillar 4'!$C$5:$C$104,MATCH($BG$9,'Pillar 4'!$L$5:$L$104,0)),""),IFERROR(INDEX('Tuan Buffer'!$C$5:$C$104,MATCH($BG$9,'Tuan Buffer'!$L$5:$L$104,0)),"")))))</f>
        <v/>
      </c>
      <c r="BN10">
        <f>IF(IFERROR(INDEX('Pillar 1'!$C$5:$C$104,MATCH($BG$9,'Pillar 1'!$L$5:$L$104,0)),"")&lt;&gt;"","'Pillar 1'!A"&amp;IFERROR(MATCH($BG$9,'Pillar 1'!$L$5:$L$104,0)+5-1,0),IF(IFERROR(INDEX('Pillar 2'!$C$5:$C$104,MATCH($BG$9,'Pillar 2'!$L$5:$L$104,0)),"")&lt;&gt;"","'Pillar 2'!A"&amp;IFERROR(MATCH($BG$9,'Pillar 2'!$L$5:$L$104,0)+5-1,0),IF(IFERROR(INDEX('Pillar 3'!$C$5:$C$104,MATCH($BG$9,'Pillar 3'!$L$5:$L$104,0)),"")&lt;&gt;"","'Pillar 3'!A"&amp;IFERROR(MATCH($BG$9,'Pillar 3'!$L$5:$L$104,0)+5-1,0),IF(IFERROR(INDEX('Pillar 4'!$C$5:$C$104,MATCH($BG$9,'Pillar 4'!$L$5:$L$104,0)),"")&lt;&gt;"","'Pillar 4'!A"&amp;IFERROR(MATCH($BG$9,'Pillar 4'!$L$5:$L$104,0)+5-1,0),"'Tuan Buffer'!A"&amp;IFERROR(MATCH($BG$9,'Tuan Buffer'!$L$5:$L$104,0)+5-1,0)))))</f>
        <v/>
      </c>
    </row>
    <row r="11" ht="16" customHeight="1">
      <c r="A11" s="28" t="inlineStr">
        <is>
          <t>TUẦN 5
BUFFER: Tổng hợp đa Pillar / Newsjacking</t>
        </is>
      </c>
      <c r="B11" s="29" t="n">
        <v>28</v>
      </c>
      <c r="C11" s="29" t="n">
        <v>29</v>
      </c>
      <c r="D11" s="29" t="n">
        <v>30</v>
      </c>
      <c r="E11" s="18" t="n"/>
      <c r="F11" s="18" t="n"/>
      <c r="G11" s="18" t="n"/>
      <c r="H11" s="18" t="n"/>
      <c r="K11" s="20" t="n">
        <v>46293</v>
      </c>
      <c r="S11" s="20" t="n">
        <v>46294</v>
      </c>
      <c r="AA11" s="20" t="n">
        <v>46295</v>
      </c>
    </row>
    <row r="12" ht="62" customHeight="1">
      <c r="B12" s="21">
        <f>IF($Q$12="",TRIM($L$12&amp;$M$12&amp;$N$12&amp;$O$12&amp;$P$12),HYPERLINK("#"&amp;$R$12,TRIM($L$12&amp;$M$12&amp;$N$12&amp;$O$12&amp;$P$12)))</f>
        <v/>
      </c>
      <c r="C12" s="21">
        <f>IF($Y$12="",TRIM($T$12&amp;$U$12&amp;$V$12&amp;$W$12&amp;$X$12),HYPERLINK("#"&amp;$Z$12,TRIM($T$12&amp;$U$12&amp;$V$12&amp;$W$12&amp;$X$12)))</f>
        <v/>
      </c>
      <c r="D12" s="21">
        <f>IF($AG$12="",TRIM($AB$12&amp;$AC$12&amp;$AD$12&amp;$AE$12&amp;$AF$12),HYPERLINK("#"&amp;$AH$12,TRIM($AB$12&amp;$AC$12&amp;$AD$12&amp;$AE$12&amp;$AF$12)))</f>
        <v/>
      </c>
      <c r="E12" s="18" t="n"/>
      <c r="F12" s="18" t="n"/>
      <c r="G12" s="18" t="n"/>
      <c r="H12" s="18" t="n"/>
      <c r="L12">
        <f t="array" ref="L12">_xlfn.TEXTJOIN("",TRUE,IF('Pillar 1'!$L$5:$L$104=$K$11,"["&amp;'Pillar 1'!$C$5:$C$104&amp;"] "&amp;'Pillar 1'!$B$5:$B$104&amp;CHAR(10),""))</f>
        <v/>
      </c>
      <c r="M12">
        <f t="array" ref="M12">_xlfn.TEXTJOIN("",TRUE,IF('Pillar 2'!$L$5:$L$104=$K$11,"["&amp;'Pillar 2'!$C$5:$C$104&amp;"] "&amp;'Pillar 2'!$B$5:$B$104&amp;CHAR(10),""))</f>
        <v/>
      </c>
      <c r="N12">
        <f t="array" ref="N12">_xlfn.TEXTJOIN("",TRUE,IF('Pillar 3'!$L$5:$L$104=$K$11,"["&amp;'Pillar 3'!$C$5:$C$104&amp;"] "&amp;'Pillar 3'!$B$5:$B$104&amp;CHAR(10),""))</f>
        <v/>
      </c>
      <c r="O12">
        <f t="array" ref="O12">_xlfn.TEXTJOIN("",TRUE,IF('Pillar 4'!$L$5:$L$104=$K$11,"["&amp;'Pillar 4'!$C$5:$C$104&amp;"] "&amp;'Pillar 4'!$B$5:$B$104&amp;CHAR(10),""))</f>
        <v/>
      </c>
      <c r="P12">
        <f t="array" ref="P12">_xlfn.TEXTJOIN("",TRUE,IF('Tuan Buffer'!$L$5:$L$104=$K$11,"["&amp;'Tuan Buffer'!$C$5:$C$104&amp;"] "&amp;'Tuan Buffer'!$B$5:$B$104&amp;CHAR(10),""))</f>
        <v/>
      </c>
      <c r="Q12">
        <f>IF(IFERROR(INDEX('Pillar 1'!$C$5:$C$104,MATCH($K$11,'Pillar 1'!$L$5:$L$104,0)),"")&lt;&gt;"",IFERROR(INDEX('Pillar 1'!$C$5:$C$104,MATCH($K$11,'Pillar 1'!$L$5:$L$104,0)),""),IF(IFERROR(INDEX('Pillar 2'!$C$5:$C$104,MATCH($K$11,'Pillar 2'!$L$5:$L$104,0)),"")&lt;&gt;"",IFERROR(INDEX('Pillar 2'!$C$5:$C$104,MATCH($K$11,'Pillar 2'!$L$5:$L$104,0)),""),IF(IFERROR(INDEX('Pillar 3'!$C$5:$C$104,MATCH($K$11,'Pillar 3'!$L$5:$L$104,0)),"")&lt;&gt;"",IFERROR(INDEX('Pillar 3'!$C$5:$C$104,MATCH($K$11,'Pillar 3'!$L$5:$L$104,0)),""),IF(IFERROR(INDEX('Pillar 4'!$C$5:$C$104,MATCH($K$11,'Pillar 4'!$L$5:$L$104,0)),"")&lt;&gt;"",IFERROR(INDEX('Pillar 4'!$C$5:$C$104,MATCH($K$11,'Pillar 4'!$L$5:$L$104,0)),""),IFERROR(INDEX('Tuan Buffer'!$C$5:$C$104,MATCH($K$11,'Tuan Buffer'!$L$5:$L$104,0)),"")))))</f>
        <v/>
      </c>
      <c r="R12">
        <f>IF(IFERROR(INDEX('Pillar 1'!$C$5:$C$104,MATCH($K$11,'Pillar 1'!$L$5:$L$104,0)),"")&lt;&gt;"","'Pillar 1'!A"&amp;IFERROR(MATCH($K$11,'Pillar 1'!$L$5:$L$104,0)+5-1,0),IF(IFERROR(INDEX('Pillar 2'!$C$5:$C$104,MATCH($K$11,'Pillar 2'!$L$5:$L$104,0)),"")&lt;&gt;"","'Pillar 2'!A"&amp;IFERROR(MATCH($K$11,'Pillar 2'!$L$5:$L$104,0)+5-1,0),IF(IFERROR(INDEX('Pillar 3'!$C$5:$C$104,MATCH($K$11,'Pillar 3'!$L$5:$L$104,0)),"")&lt;&gt;"","'Pillar 3'!A"&amp;IFERROR(MATCH($K$11,'Pillar 3'!$L$5:$L$104,0)+5-1,0),IF(IFERROR(INDEX('Pillar 4'!$C$5:$C$104,MATCH($K$11,'Pillar 4'!$L$5:$L$104,0)),"")&lt;&gt;"","'Pillar 4'!A"&amp;IFERROR(MATCH($K$11,'Pillar 4'!$L$5:$L$104,0)+5-1,0),"'Tuan Buffer'!A"&amp;IFERROR(MATCH($K$11,'Tuan Buffer'!$L$5:$L$104,0)+5-1,0)))))</f>
        <v/>
      </c>
      <c r="T12">
        <f t="array" ref="T12">_xlfn.TEXTJOIN("",TRUE,IF('Pillar 1'!$L$5:$L$104=$S$11,"["&amp;'Pillar 1'!$C$5:$C$104&amp;"] "&amp;'Pillar 1'!$B$5:$B$104&amp;CHAR(10),""))</f>
        <v/>
      </c>
      <c r="U12">
        <f t="array" ref="U12">_xlfn.TEXTJOIN("",TRUE,IF('Pillar 2'!$L$5:$L$104=$S$11,"["&amp;'Pillar 2'!$C$5:$C$104&amp;"] "&amp;'Pillar 2'!$B$5:$B$104&amp;CHAR(10),""))</f>
        <v/>
      </c>
      <c r="V12">
        <f t="array" ref="V12">_xlfn.TEXTJOIN("",TRUE,IF('Pillar 3'!$L$5:$L$104=$S$11,"["&amp;'Pillar 3'!$C$5:$C$104&amp;"] "&amp;'Pillar 3'!$B$5:$B$104&amp;CHAR(10),""))</f>
        <v/>
      </c>
      <c r="W12">
        <f t="array" ref="W12">_xlfn.TEXTJOIN("",TRUE,IF('Pillar 4'!$L$5:$L$104=$S$11,"["&amp;'Pillar 4'!$C$5:$C$104&amp;"] "&amp;'Pillar 4'!$B$5:$B$104&amp;CHAR(10),""))</f>
        <v/>
      </c>
      <c r="X12">
        <f t="array" ref="X12">_xlfn.TEXTJOIN("",TRUE,IF('Tuan Buffer'!$L$5:$L$104=$S$11,"["&amp;'Tuan Buffer'!$C$5:$C$104&amp;"] "&amp;'Tuan Buffer'!$B$5:$B$104&amp;CHAR(10),""))</f>
        <v/>
      </c>
      <c r="Y12">
        <f>IF(IFERROR(INDEX('Pillar 1'!$C$5:$C$104,MATCH($S$11,'Pillar 1'!$L$5:$L$104,0)),"")&lt;&gt;"",IFERROR(INDEX('Pillar 1'!$C$5:$C$104,MATCH($S$11,'Pillar 1'!$L$5:$L$104,0)),""),IF(IFERROR(INDEX('Pillar 2'!$C$5:$C$104,MATCH($S$11,'Pillar 2'!$L$5:$L$104,0)),"")&lt;&gt;"",IFERROR(INDEX('Pillar 2'!$C$5:$C$104,MATCH($S$11,'Pillar 2'!$L$5:$L$104,0)),""),IF(IFERROR(INDEX('Pillar 3'!$C$5:$C$104,MATCH($S$11,'Pillar 3'!$L$5:$L$104,0)),"")&lt;&gt;"",IFERROR(INDEX('Pillar 3'!$C$5:$C$104,MATCH($S$11,'Pillar 3'!$L$5:$L$104,0)),""),IF(IFERROR(INDEX('Pillar 4'!$C$5:$C$104,MATCH($S$11,'Pillar 4'!$L$5:$L$104,0)),"")&lt;&gt;"",IFERROR(INDEX('Pillar 4'!$C$5:$C$104,MATCH($S$11,'Pillar 4'!$L$5:$L$104,0)),""),IFERROR(INDEX('Tuan Buffer'!$C$5:$C$104,MATCH($S$11,'Tuan Buffer'!$L$5:$L$104,0)),"")))))</f>
        <v/>
      </c>
      <c r="Z12">
        <f>IF(IFERROR(INDEX('Pillar 1'!$C$5:$C$104,MATCH($S$11,'Pillar 1'!$L$5:$L$104,0)),"")&lt;&gt;"","'Pillar 1'!A"&amp;IFERROR(MATCH($S$11,'Pillar 1'!$L$5:$L$104,0)+5-1,0),IF(IFERROR(INDEX('Pillar 2'!$C$5:$C$104,MATCH($S$11,'Pillar 2'!$L$5:$L$104,0)),"")&lt;&gt;"","'Pillar 2'!A"&amp;IFERROR(MATCH($S$11,'Pillar 2'!$L$5:$L$104,0)+5-1,0),IF(IFERROR(INDEX('Pillar 3'!$C$5:$C$104,MATCH($S$11,'Pillar 3'!$L$5:$L$104,0)),"")&lt;&gt;"","'Pillar 3'!A"&amp;IFERROR(MATCH($S$11,'Pillar 3'!$L$5:$L$104,0)+5-1,0),IF(IFERROR(INDEX('Pillar 4'!$C$5:$C$104,MATCH($S$11,'Pillar 4'!$L$5:$L$104,0)),"")&lt;&gt;"","'Pillar 4'!A"&amp;IFERROR(MATCH($S$11,'Pillar 4'!$L$5:$L$104,0)+5-1,0),"'Tuan Buffer'!A"&amp;IFERROR(MATCH($S$11,'Tuan Buffer'!$L$5:$L$104,0)+5-1,0)))))</f>
        <v/>
      </c>
      <c r="AB12">
        <f t="array" ref="AB12">_xlfn.TEXTJOIN("",TRUE,IF('Pillar 1'!$L$5:$L$104=$AA$11,"["&amp;'Pillar 1'!$C$5:$C$104&amp;"] "&amp;'Pillar 1'!$B$5:$B$104&amp;CHAR(10),""))</f>
        <v/>
      </c>
      <c r="AC12">
        <f t="array" ref="AC12">_xlfn.TEXTJOIN("",TRUE,IF('Pillar 2'!$L$5:$L$104=$AA$11,"["&amp;'Pillar 2'!$C$5:$C$104&amp;"] "&amp;'Pillar 2'!$B$5:$B$104&amp;CHAR(10),""))</f>
        <v/>
      </c>
      <c r="AD12">
        <f t="array" ref="AD12">_xlfn.TEXTJOIN("",TRUE,IF('Pillar 3'!$L$5:$L$104=$AA$11,"["&amp;'Pillar 3'!$C$5:$C$104&amp;"] "&amp;'Pillar 3'!$B$5:$B$104&amp;CHAR(10),""))</f>
        <v/>
      </c>
      <c r="AE12">
        <f t="array" ref="AE12">_xlfn.TEXTJOIN("",TRUE,IF('Pillar 4'!$L$5:$L$104=$AA$11,"["&amp;'Pillar 4'!$C$5:$C$104&amp;"] "&amp;'Pillar 4'!$B$5:$B$104&amp;CHAR(10),""))</f>
        <v/>
      </c>
      <c r="AF12">
        <f t="array" ref="AF12">_xlfn.TEXTJOIN("",TRUE,IF('Tuan Buffer'!$L$5:$L$104=$AA$11,"["&amp;'Tuan Buffer'!$C$5:$C$104&amp;"] "&amp;'Tuan Buffer'!$B$5:$B$104&amp;CHAR(10),""))</f>
        <v/>
      </c>
      <c r="AG12">
        <f>IF(IFERROR(INDEX('Pillar 1'!$C$5:$C$104,MATCH($AA$11,'Pillar 1'!$L$5:$L$104,0)),"")&lt;&gt;"",IFERROR(INDEX('Pillar 1'!$C$5:$C$104,MATCH($AA$11,'Pillar 1'!$L$5:$L$104,0)),""),IF(IFERROR(INDEX('Pillar 2'!$C$5:$C$104,MATCH($AA$11,'Pillar 2'!$L$5:$L$104,0)),"")&lt;&gt;"",IFERROR(INDEX('Pillar 2'!$C$5:$C$104,MATCH($AA$11,'Pillar 2'!$L$5:$L$104,0)),""),IF(IFERROR(INDEX('Pillar 3'!$C$5:$C$104,MATCH($AA$11,'Pillar 3'!$L$5:$L$104,0)),"")&lt;&gt;"",IFERROR(INDEX('Pillar 3'!$C$5:$C$104,MATCH($AA$11,'Pillar 3'!$L$5:$L$104,0)),""),IF(IFERROR(INDEX('Pillar 4'!$C$5:$C$104,MATCH($AA$11,'Pillar 4'!$L$5:$L$104,0)),"")&lt;&gt;"",IFERROR(INDEX('Pillar 4'!$C$5:$C$104,MATCH($AA$11,'Pillar 4'!$L$5:$L$104,0)),""),IFERROR(INDEX('Tuan Buffer'!$C$5:$C$104,MATCH($AA$11,'Tuan Buffer'!$L$5:$L$104,0)),"")))))</f>
        <v/>
      </c>
      <c r="AH12">
        <f>IF(IFERROR(INDEX('Pillar 1'!$C$5:$C$104,MATCH($AA$11,'Pillar 1'!$L$5:$L$104,0)),"")&lt;&gt;"","'Pillar 1'!A"&amp;IFERROR(MATCH($AA$11,'Pillar 1'!$L$5:$L$104,0)+5-1,0),IF(IFERROR(INDEX('Pillar 2'!$C$5:$C$104,MATCH($AA$11,'Pillar 2'!$L$5:$L$104,0)),"")&lt;&gt;"","'Pillar 2'!A"&amp;IFERROR(MATCH($AA$11,'Pillar 2'!$L$5:$L$104,0)+5-1,0),IF(IFERROR(INDEX('Pillar 3'!$C$5:$C$104,MATCH($AA$11,'Pillar 3'!$L$5:$L$104,0)),"")&lt;&gt;"","'Pillar 3'!A"&amp;IFERROR(MATCH($AA$11,'Pillar 3'!$L$5:$L$104,0)+5-1,0),IF(IFERROR(INDEX('Pillar 4'!$C$5:$C$104,MATCH($AA$11,'Pillar 4'!$L$5:$L$104,0)),"")&lt;&gt;"","'Pillar 4'!A"&amp;IFERROR(MATCH($AA$11,'Pillar 4'!$L$5:$L$104,0)+5-1,0),"'Tuan Buffer'!A"&amp;IFERROR(MATCH($AA$11,'Tuan Buffer'!$L$5:$L$104,0)+5-1,0)))))</f>
        <v/>
      </c>
    </row>
    <row r="14">
      <c r="A14" s="30" t="inlineStr">
        <is>
          <t>CHÚ GIẢI (LEGEND)</t>
        </is>
      </c>
    </row>
    <row r="15">
      <c r="A15" s="31" t="inlineStr">
        <is>
          <t>Hero (HE)</t>
        </is>
      </c>
      <c r="B15" s="32" t="inlineStr">
        <is>
          <t>Nội dung trong ô Calendar là CÔNG THỨC tự động — sửa/xóa dòng trong sheet Pillar sẽ cập nhật ngay, không cần chạy lại script.</t>
        </is>
      </c>
    </row>
    <row r="16">
      <c r="A16" s="33" t="inlineStr">
        <is>
          <t>Hub (HU)</t>
        </is>
      </c>
      <c r="B16" s="32" t="inlineStr">
        <is>
          <t>Nội dung trong ô Calendar là CÔNG THỨC tự động — sửa/xóa dòng trong sheet Pillar sẽ cập nhật ngay, không cần chạy lại script.</t>
        </is>
      </c>
    </row>
    <row r="17">
      <c r="A17" s="34" t="inlineStr">
        <is>
          <t>Hygiene (HY)</t>
        </is>
      </c>
      <c r="B17" s="32" t="inlineStr">
        <is>
          <t>Nội dung trong ô Calendar là CÔNG THỨC tự động — sửa/xóa dòng trong sheet Pillar sẽ cập nhật ngay, không cần chạy lại script.</t>
        </is>
      </c>
    </row>
    <row r="19">
      <c r="A19" s="32" t="inlineStr">
        <is>
          <t>Ô màu xám (nếu có) là TUẦN BUFFER — dành cho newsjacking hoặc tổng hợp nội dung xen ngang từ nhiều Pillar, không gán cố định 1 Pillar.</t>
        </is>
      </c>
    </row>
    <row r="20">
      <c r="A20" s="32" t="inlineStr">
        <is>
          <t>Phân bổ: Tuần 1: [Điền tên chủ đề Pillar 1]; Tuần 2: [Điền tên chủ đề Pillar 2]; Tuần 3: [Điền tên chủ đề Pillar 3]; Tuần 4: [Điền tên chủ đề Pillar 4]; Tuần 5: Tổng hợp đa Pillar / Newsjacking</t>
        </is>
      </c>
    </row>
  </sheetData>
  <mergeCells count="7">
    <mergeCell ref="A5:A6"/>
    <mergeCell ref="A9:A10"/>
    <mergeCell ref="A20:H20"/>
    <mergeCell ref="A3:A4"/>
    <mergeCell ref="A7:A8"/>
    <mergeCell ref="A1:H1"/>
    <mergeCell ref="A11:A12"/>
  </mergeCells>
  <conditionalFormatting sqref="C4">
    <cfRule type="expression" priority="1" dxfId="0">
      <formula>$Y$4="Hero"</formula>
    </cfRule>
    <cfRule type="expression" priority="2" dxfId="1">
      <formula>$Y$4="Hub"</formula>
    </cfRule>
    <cfRule type="expression" priority="3" dxfId="2">
      <formula>$Y$4="Hygiene"</formula>
    </cfRule>
  </conditionalFormatting>
  <conditionalFormatting sqref="D4">
    <cfRule type="expression" priority="4" dxfId="0">
      <formula>$AG$4="Hero"</formula>
    </cfRule>
    <cfRule type="expression" priority="5" dxfId="1">
      <formula>$AG$4="Hub"</formula>
    </cfRule>
    <cfRule type="expression" priority="6" dxfId="2">
      <formula>$AG$4="Hygiene"</formula>
    </cfRule>
  </conditionalFormatting>
  <conditionalFormatting sqref="E4">
    <cfRule type="expression" priority="7" dxfId="0">
      <formula>$AO$4="Hero"</formula>
    </cfRule>
    <cfRule type="expression" priority="8" dxfId="1">
      <formula>$AO$4="Hub"</formula>
    </cfRule>
    <cfRule type="expression" priority="9" dxfId="2">
      <formula>$AO$4="Hygiene"</formula>
    </cfRule>
  </conditionalFormatting>
  <conditionalFormatting sqref="F4">
    <cfRule type="expression" priority="10" dxfId="0">
      <formula>$AW$4="Hero"</formula>
    </cfRule>
    <cfRule type="expression" priority="11" dxfId="1">
      <formula>$AW$4="Hub"</formula>
    </cfRule>
    <cfRule type="expression" priority="12" dxfId="2">
      <formula>$AW$4="Hygiene"</formula>
    </cfRule>
  </conditionalFormatting>
  <conditionalFormatting sqref="G4">
    <cfRule type="expression" priority="13" dxfId="0">
      <formula>$BE$4="Hero"</formula>
    </cfRule>
    <cfRule type="expression" priority="14" dxfId="1">
      <formula>$BE$4="Hub"</formula>
    </cfRule>
    <cfRule type="expression" priority="15" dxfId="2">
      <formula>$BE$4="Hygiene"</formula>
    </cfRule>
  </conditionalFormatting>
  <conditionalFormatting sqref="H4">
    <cfRule type="expression" priority="16" dxfId="0">
      <formula>$BM$4="Hero"</formula>
    </cfRule>
    <cfRule type="expression" priority="17" dxfId="1">
      <formula>$BM$4="Hub"</formula>
    </cfRule>
    <cfRule type="expression" priority="18" dxfId="2">
      <formula>$BM$4="Hygiene"</formula>
    </cfRule>
  </conditionalFormatting>
  <conditionalFormatting sqref="B6">
    <cfRule type="expression" priority="19" dxfId="0">
      <formula>$Q$6="Hero"</formula>
    </cfRule>
    <cfRule type="expression" priority="20" dxfId="1">
      <formula>$Q$6="Hub"</formula>
    </cfRule>
    <cfRule type="expression" priority="21" dxfId="2">
      <formula>$Q$6="Hygiene"</formula>
    </cfRule>
  </conditionalFormatting>
  <conditionalFormatting sqref="C6">
    <cfRule type="expression" priority="22" dxfId="0">
      <formula>$Y$6="Hero"</formula>
    </cfRule>
    <cfRule type="expression" priority="23" dxfId="1">
      <formula>$Y$6="Hub"</formula>
    </cfRule>
    <cfRule type="expression" priority="24" dxfId="2">
      <formula>$Y$6="Hygiene"</formula>
    </cfRule>
  </conditionalFormatting>
  <conditionalFormatting sqref="D6">
    <cfRule type="expression" priority="25" dxfId="0">
      <formula>$AG$6="Hero"</formula>
    </cfRule>
    <cfRule type="expression" priority="26" dxfId="1">
      <formula>$AG$6="Hub"</formula>
    </cfRule>
    <cfRule type="expression" priority="27" dxfId="2">
      <formula>$AG$6="Hygiene"</formula>
    </cfRule>
  </conditionalFormatting>
  <conditionalFormatting sqref="E6">
    <cfRule type="expression" priority="28" dxfId="0">
      <formula>$AO$6="Hero"</formula>
    </cfRule>
    <cfRule type="expression" priority="29" dxfId="1">
      <formula>$AO$6="Hub"</formula>
    </cfRule>
    <cfRule type="expression" priority="30" dxfId="2">
      <formula>$AO$6="Hygiene"</formula>
    </cfRule>
  </conditionalFormatting>
  <conditionalFormatting sqref="F6">
    <cfRule type="expression" priority="31" dxfId="0">
      <formula>$AW$6="Hero"</formula>
    </cfRule>
    <cfRule type="expression" priority="32" dxfId="1">
      <formula>$AW$6="Hub"</formula>
    </cfRule>
    <cfRule type="expression" priority="33" dxfId="2">
      <formula>$AW$6="Hygiene"</formula>
    </cfRule>
  </conditionalFormatting>
  <conditionalFormatting sqref="G6">
    <cfRule type="expression" priority="34" dxfId="0">
      <formula>$BE$6="Hero"</formula>
    </cfRule>
    <cfRule type="expression" priority="35" dxfId="1">
      <formula>$BE$6="Hub"</formula>
    </cfRule>
    <cfRule type="expression" priority="36" dxfId="2">
      <formula>$BE$6="Hygiene"</formula>
    </cfRule>
  </conditionalFormatting>
  <conditionalFormatting sqref="H6">
    <cfRule type="expression" priority="37" dxfId="0">
      <formula>$BM$6="Hero"</formula>
    </cfRule>
    <cfRule type="expression" priority="38" dxfId="1">
      <formula>$BM$6="Hub"</formula>
    </cfRule>
    <cfRule type="expression" priority="39" dxfId="2">
      <formula>$BM$6="Hygiene"</formula>
    </cfRule>
  </conditionalFormatting>
  <conditionalFormatting sqref="B8">
    <cfRule type="expression" priority="40" dxfId="0">
      <formula>$Q$8="Hero"</formula>
    </cfRule>
    <cfRule type="expression" priority="41" dxfId="1">
      <formula>$Q$8="Hub"</formula>
    </cfRule>
    <cfRule type="expression" priority="42" dxfId="2">
      <formula>$Q$8="Hygiene"</formula>
    </cfRule>
  </conditionalFormatting>
  <conditionalFormatting sqref="C8">
    <cfRule type="expression" priority="43" dxfId="0">
      <formula>$Y$8="Hero"</formula>
    </cfRule>
    <cfRule type="expression" priority="44" dxfId="1">
      <formula>$Y$8="Hub"</formula>
    </cfRule>
    <cfRule type="expression" priority="45" dxfId="2">
      <formula>$Y$8="Hygiene"</formula>
    </cfRule>
  </conditionalFormatting>
  <conditionalFormatting sqref="D8">
    <cfRule type="expression" priority="46" dxfId="0">
      <formula>$AG$8="Hero"</formula>
    </cfRule>
    <cfRule type="expression" priority="47" dxfId="1">
      <formula>$AG$8="Hub"</formula>
    </cfRule>
    <cfRule type="expression" priority="48" dxfId="2">
      <formula>$AG$8="Hygiene"</formula>
    </cfRule>
  </conditionalFormatting>
  <conditionalFormatting sqref="E8">
    <cfRule type="expression" priority="49" dxfId="0">
      <formula>$AO$8="Hero"</formula>
    </cfRule>
    <cfRule type="expression" priority="50" dxfId="1">
      <formula>$AO$8="Hub"</formula>
    </cfRule>
    <cfRule type="expression" priority="51" dxfId="2">
      <formula>$AO$8="Hygiene"</formula>
    </cfRule>
  </conditionalFormatting>
  <conditionalFormatting sqref="F8">
    <cfRule type="expression" priority="52" dxfId="0">
      <formula>$AW$8="Hero"</formula>
    </cfRule>
    <cfRule type="expression" priority="53" dxfId="1">
      <formula>$AW$8="Hub"</formula>
    </cfRule>
    <cfRule type="expression" priority="54" dxfId="2">
      <formula>$AW$8="Hygiene"</formula>
    </cfRule>
  </conditionalFormatting>
  <conditionalFormatting sqref="G8">
    <cfRule type="expression" priority="55" dxfId="0">
      <formula>$BE$8="Hero"</formula>
    </cfRule>
    <cfRule type="expression" priority="56" dxfId="1">
      <formula>$BE$8="Hub"</formula>
    </cfRule>
    <cfRule type="expression" priority="57" dxfId="2">
      <formula>$BE$8="Hygiene"</formula>
    </cfRule>
  </conditionalFormatting>
  <conditionalFormatting sqref="H8">
    <cfRule type="expression" priority="58" dxfId="0">
      <formula>$BM$8="Hero"</formula>
    </cfRule>
    <cfRule type="expression" priority="59" dxfId="1">
      <formula>$BM$8="Hub"</formula>
    </cfRule>
    <cfRule type="expression" priority="60" dxfId="2">
      <formula>$BM$8="Hygiene"</formula>
    </cfRule>
  </conditionalFormatting>
  <conditionalFormatting sqref="B10">
    <cfRule type="expression" priority="61" dxfId="0">
      <formula>$Q$10="Hero"</formula>
    </cfRule>
    <cfRule type="expression" priority="62" dxfId="1">
      <formula>$Q$10="Hub"</formula>
    </cfRule>
    <cfRule type="expression" priority="63" dxfId="2">
      <formula>$Q$10="Hygiene"</formula>
    </cfRule>
  </conditionalFormatting>
  <conditionalFormatting sqref="C10">
    <cfRule type="expression" priority="64" dxfId="0">
      <formula>$Y$10="Hero"</formula>
    </cfRule>
    <cfRule type="expression" priority="65" dxfId="1">
      <formula>$Y$10="Hub"</formula>
    </cfRule>
    <cfRule type="expression" priority="66" dxfId="2">
      <formula>$Y$10="Hygiene"</formula>
    </cfRule>
  </conditionalFormatting>
  <conditionalFormatting sqref="D10">
    <cfRule type="expression" priority="67" dxfId="0">
      <formula>$AG$10="Hero"</formula>
    </cfRule>
    <cfRule type="expression" priority="68" dxfId="1">
      <formula>$AG$10="Hub"</formula>
    </cfRule>
    <cfRule type="expression" priority="69" dxfId="2">
      <formula>$AG$10="Hygiene"</formula>
    </cfRule>
  </conditionalFormatting>
  <conditionalFormatting sqref="E10">
    <cfRule type="expression" priority="70" dxfId="0">
      <formula>$AO$10="Hero"</formula>
    </cfRule>
    <cfRule type="expression" priority="71" dxfId="1">
      <formula>$AO$10="Hub"</formula>
    </cfRule>
    <cfRule type="expression" priority="72" dxfId="2">
      <formula>$AO$10="Hygiene"</formula>
    </cfRule>
  </conditionalFormatting>
  <conditionalFormatting sqref="F10">
    <cfRule type="expression" priority="73" dxfId="0">
      <formula>$AW$10="Hero"</formula>
    </cfRule>
    <cfRule type="expression" priority="74" dxfId="1">
      <formula>$AW$10="Hub"</formula>
    </cfRule>
    <cfRule type="expression" priority="75" dxfId="2">
      <formula>$AW$10="Hygiene"</formula>
    </cfRule>
  </conditionalFormatting>
  <conditionalFormatting sqref="G10">
    <cfRule type="expression" priority="76" dxfId="0">
      <formula>$BE$10="Hero"</formula>
    </cfRule>
    <cfRule type="expression" priority="77" dxfId="1">
      <formula>$BE$10="Hub"</formula>
    </cfRule>
    <cfRule type="expression" priority="78" dxfId="2">
      <formula>$BE$10="Hygiene"</formula>
    </cfRule>
  </conditionalFormatting>
  <conditionalFormatting sqref="H10">
    <cfRule type="expression" priority="79" dxfId="0">
      <formula>$BM$10="Hero"</formula>
    </cfRule>
    <cfRule type="expression" priority="80" dxfId="1">
      <formula>$BM$10="Hub"</formula>
    </cfRule>
    <cfRule type="expression" priority="81" dxfId="2">
      <formula>$BM$10="Hygiene"</formula>
    </cfRule>
  </conditionalFormatting>
  <conditionalFormatting sqref="B12">
    <cfRule type="expression" priority="82" dxfId="0">
      <formula>$Q$12="Hero"</formula>
    </cfRule>
    <cfRule type="expression" priority="83" dxfId="1">
      <formula>$Q$12="Hub"</formula>
    </cfRule>
    <cfRule type="expression" priority="84" dxfId="2">
      <formula>$Q$12="Hygiene"</formula>
    </cfRule>
  </conditionalFormatting>
  <conditionalFormatting sqref="C12">
    <cfRule type="expression" priority="85" dxfId="0">
      <formula>$Y$12="Hero"</formula>
    </cfRule>
    <cfRule type="expression" priority="86" dxfId="1">
      <formula>$Y$12="Hub"</formula>
    </cfRule>
    <cfRule type="expression" priority="87" dxfId="2">
      <formula>$Y$12="Hygiene"</formula>
    </cfRule>
  </conditionalFormatting>
  <conditionalFormatting sqref="D12">
    <cfRule type="expression" priority="88" dxfId="0">
      <formula>$AG$12="Hero"</formula>
    </cfRule>
    <cfRule type="expression" priority="89" dxfId="1">
      <formula>$AG$12="Hub"</formula>
    </cfRule>
    <cfRule type="expression" priority="90" dxfId="2">
      <formula>$AG$12="Hygiene"</formula>
    </cfRule>
  </conditionalFormatting>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16" customWidth="1" min="1" max="1"/>
    <col width="42" customWidth="1" min="2" max="2"/>
    <col width="16" customWidth="1" min="3" max="3"/>
    <col width="20" customWidth="1" min="4" max="4"/>
    <col width="20" customWidth="1" min="5" max="5"/>
  </cols>
  <sheetData>
    <row r="1" ht="26" customHeight="1">
      <c r="A1" s="35">
        <f>"DASHBOARD KIỂM TRA CÂN BẰNG NỘI DUNG — THÁNG "&amp;Config!$B$8&amp;"/"&amp;Config!$B$7</f>
        <v/>
      </c>
    </row>
    <row r="3">
      <c r="A3" s="36" t="inlineStr">
        <is>
          <t>Tuần</t>
        </is>
      </c>
      <c r="B3" s="36" t="inlineStr">
        <is>
          <t>Pillar được gán</t>
        </is>
      </c>
      <c r="C3" s="36" t="inlineStr">
        <is>
          <t>Số Content Cluster</t>
        </is>
      </c>
      <c r="D3" s="36" t="inlineStr">
        <is>
          <t>Đạt tối thiểu 3-5 bài?</t>
        </is>
      </c>
    </row>
    <row r="4">
      <c r="A4" s="37" t="inlineStr">
        <is>
          <t>Tuần 1</t>
        </is>
      </c>
      <c r="B4" s="38" t="inlineStr">
        <is>
          <t>PILLAR 1: [Điền tên chủ đề Pillar 1]</t>
        </is>
      </c>
      <c r="C4" s="37">
        <f>COUNTIFS('Pillar 1'!$M$5:$M$104,1,'Pillar 1'!$B$5:$B$104,"&lt;&gt;")</f>
        <v/>
      </c>
      <c r="D4" s="37">
        <f>IF(C4&gt;=3,"✓ Đạt","✗ Cần bổ sung")</f>
        <v/>
      </c>
    </row>
    <row r="5">
      <c r="A5" s="37" t="inlineStr">
        <is>
          <t>Tuần 2</t>
        </is>
      </c>
      <c r="B5" s="39" t="inlineStr">
        <is>
          <t>PILLAR 2: [Điền tên chủ đề Pillar 2]</t>
        </is>
      </c>
      <c r="C5" s="37">
        <f>COUNTIFS('Pillar 2'!$M$5:$M$104,2,'Pillar 2'!$B$5:$B$104,"&lt;&gt;")</f>
        <v/>
      </c>
      <c r="D5" s="37">
        <f>IF(C5&gt;=3,"✓ Đạt","✗ Cần bổ sung")</f>
        <v/>
      </c>
    </row>
    <row r="6">
      <c r="A6" s="37" t="inlineStr">
        <is>
          <t>Tuần 3</t>
        </is>
      </c>
      <c r="B6" s="40" t="inlineStr">
        <is>
          <t>PILLAR 3: [Điền tên chủ đề Pillar 3]</t>
        </is>
      </c>
      <c r="C6" s="37">
        <f>COUNTIFS('Pillar 3'!$M$5:$M$104,3,'Pillar 3'!$B$5:$B$104,"&lt;&gt;")</f>
        <v/>
      </c>
      <c r="D6" s="37">
        <f>IF(C6&gt;=3,"✓ Đạt","✗ Cần bổ sung")</f>
        <v/>
      </c>
    </row>
    <row r="7">
      <c r="A7" s="37" t="inlineStr">
        <is>
          <t>Tuần 4</t>
        </is>
      </c>
      <c r="B7" s="41" t="inlineStr">
        <is>
          <t>PILLAR 4: [Điền tên chủ đề Pillar 4]</t>
        </is>
      </c>
      <c r="C7" s="37">
        <f>COUNTIFS('Pillar 4'!$M$5:$M$104,4,'Pillar 4'!$B$5:$B$104,"&lt;&gt;")</f>
        <v/>
      </c>
      <c r="D7" s="37">
        <f>IF(C7&gt;=3,"✓ Đạt","✗ Cần bổ sung")</f>
        <v/>
      </c>
    </row>
    <row r="8">
      <c r="A8" s="37" t="inlineStr">
        <is>
          <t>Tuần 5</t>
        </is>
      </c>
      <c r="B8" s="42" t="inlineStr">
        <is>
          <t>TUẦN BUFFER: Tổng hợp đa Pillar / Newsjacking</t>
        </is>
      </c>
      <c r="C8" s="37">
        <f>COUNTIFS('Tuan Buffer'!$M$5:$M$104,5,'Tuan Buffer'!$B$5:$B$104,"&lt;&gt;")</f>
        <v/>
      </c>
      <c r="D8" s="37" t="inlineStr">
        <is>
          <t>— (tuần buffer, không bắt buộc)</t>
        </is>
      </c>
    </row>
    <row r="10">
      <c r="A10" s="36" t="inlineStr">
        <is>
          <t>Loại 3H</t>
        </is>
      </c>
      <c r="B10" s="36" t="inlineStr">
        <is>
          <t>Số lượng</t>
        </is>
      </c>
      <c r="C10" s="36" t="inlineStr">
        <is>
          <t>Tỷ lệ %</t>
        </is>
      </c>
      <c r="D10" s="36" t="inlineStr">
        <is>
          <t>Baseline đề xuất</t>
        </is>
      </c>
      <c r="E10" s="36" t="inlineStr">
        <is>
          <t>Đánh giá</t>
        </is>
      </c>
    </row>
    <row r="11">
      <c r="A11" s="31" t="inlineStr">
        <is>
          <t>Hero</t>
        </is>
      </c>
      <c r="B11" s="37">
        <f>COUNTIF('Pillar 1'!$C$5:$C$104,"Hero")+COUNTIF('Pillar 2'!$C$5:$C$104,"Hero")+COUNTIF('Pillar 3'!$C$5:$C$104,"Hero")+COUNTIF('Pillar 4'!$C$5:$C$104,"Hero")+COUNTIF('Tuan Buffer'!$C$5:$C$104,"Hero")</f>
        <v/>
      </c>
      <c r="C11" s="43">
        <f>IF((COUNTIF('Pillar 1'!$B$5:$B$104,"&lt;&gt;")+COUNTIF('Pillar 2'!$B$5:$B$104,"&lt;&gt;")+COUNTIF('Pillar 3'!$B$5:$B$104,"&lt;&gt;")+COUNTIF('Pillar 4'!$B$5:$B$104,"&lt;&gt;")+COUNTIF('Tuan Buffer'!$B$5:$B$104,"&lt;&gt;"))=0,0,B11/(COUNTIF('Pillar 1'!$B$5:$B$104,"&lt;&gt;")+COUNTIF('Pillar 2'!$B$5:$B$104,"&lt;&gt;")+COUNTIF('Pillar 3'!$B$5:$B$104,"&lt;&gt;")+COUNTIF('Pillar 4'!$B$5:$B$104,"&lt;&gt;")+COUNTIF('Tuan Buffer'!$B$5:$B$104,"&lt;&gt;")))</f>
        <v/>
      </c>
      <c r="D11" s="37" t="inlineStr">
        <is>
          <t>5% - 10%</t>
        </is>
      </c>
      <c r="E11" s="37">
        <f>IF(AND(C11&gt;=0.05,C11&lt;=0.1),"✓ Đạt baseline",IF(C11&lt;0.05,"✗ Thấp hơn baseline","✗ Cao hơn baseline"))</f>
        <v/>
      </c>
    </row>
    <row r="12">
      <c r="A12" s="33" t="inlineStr">
        <is>
          <t>Hub</t>
        </is>
      </c>
      <c r="B12" s="37">
        <f>COUNTIF('Pillar 1'!$C$5:$C$104,"Hub")+COUNTIF('Pillar 2'!$C$5:$C$104,"Hub")+COUNTIF('Pillar 3'!$C$5:$C$104,"Hub")+COUNTIF('Pillar 4'!$C$5:$C$104,"Hub")+COUNTIF('Tuan Buffer'!$C$5:$C$104,"Hub")</f>
        <v/>
      </c>
      <c r="C12" s="43">
        <f>IF((COUNTIF('Pillar 1'!$B$5:$B$104,"&lt;&gt;")+COUNTIF('Pillar 2'!$B$5:$B$104,"&lt;&gt;")+COUNTIF('Pillar 3'!$B$5:$B$104,"&lt;&gt;")+COUNTIF('Pillar 4'!$B$5:$B$104,"&lt;&gt;")+COUNTIF('Tuan Buffer'!$B$5:$B$104,"&lt;&gt;"))=0,0,B12/(COUNTIF('Pillar 1'!$B$5:$B$104,"&lt;&gt;")+COUNTIF('Pillar 2'!$B$5:$B$104,"&lt;&gt;")+COUNTIF('Pillar 3'!$B$5:$B$104,"&lt;&gt;")+COUNTIF('Pillar 4'!$B$5:$B$104,"&lt;&gt;")+COUNTIF('Tuan Buffer'!$B$5:$B$104,"&lt;&gt;")))</f>
        <v/>
      </c>
      <c r="D12" s="37" t="inlineStr">
        <is>
          <t>40% - 50%</t>
        </is>
      </c>
      <c r="E12" s="37">
        <f>IF(AND(C12&gt;=0.4,C12&lt;=0.5),"✓ Đạt baseline",IF(C12&lt;0.4,"✗ Thấp hơn baseline","✗ Cao hơn baseline"))</f>
        <v/>
      </c>
    </row>
    <row r="13">
      <c r="A13" s="34" t="inlineStr">
        <is>
          <t>Hygiene</t>
        </is>
      </c>
      <c r="B13" s="37">
        <f>COUNTIF('Pillar 1'!$C$5:$C$104,"Hygiene")+COUNTIF('Pillar 2'!$C$5:$C$104,"Hygiene")+COUNTIF('Pillar 3'!$C$5:$C$104,"Hygiene")+COUNTIF('Pillar 4'!$C$5:$C$104,"Hygiene")+COUNTIF('Tuan Buffer'!$C$5:$C$104,"Hygiene")</f>
        <v/>
      </c>
      <c r="C13" s="43">
        <f>IF((COUNTIF('Pillar 1'!$B$5:$B$104,"&lt;&gt;")+COUNTIF('Pillar 2'!$B$5:$B$104,"&lt;&gt;")+COUNTIF('Pillar 3'!$B$5:$B$104,"&lt;&gt;")+COUNTIF('Pillar 4'!$B$5:$B$104,"&lt;&gt;")+COUNTIF('Tuan Buffer'!$B$5:$B$104,"&lt;&gt;"))=0,0,B13/(COUNTIF('Pillar 1'!$B$5:$B$104,"&lt;&gt;")+COUNTIF('Pillar 2'!$B$5:$B$104,"&lt;&gt;")+COUNTIF('Pillar 3'!$B$5:$B$104,"&lt;&gt;")+COUNTIF('Pillar 4'!$B$5:$B$104,"&lt;&gt;")+COUNTIF('Tuan Buffer'!$B$5:$B$104,"&lt;&gt;")))</f>
        <v/>
      </c>
      <c r="D13" s="37" t="inlineStr">
        <is>
          <t>40% - 55%</t>
        </is>
      </c>
      <c r="E13" s="37">
        <f>IF(AND(C13&gt;=0.4,C13&lt;=0.55),"✓ Đạt baseline",IF(C13&lt;0.4,"✗ Thấp hơn baseline","✗ Cao hơn baseline"))</f>
        <v/>
      </c>
    </row>
    <row r="15">
      <c r="A15" s="44" t="inlineStr">
        <is>
          <t>Tổng số Content Cluster trong tháng:</t>
        </is>
      </c>
      <c r="B15" s="45">
        <f>COUNTIF('Pillar 1'!$B$5:$B$104,"&lt;&gt;")+COUNTIF('Pillar 2'!$B$5:$B$104,"&lt;&gt;")+COUNTIF('Pillar 3'!$B$5:$B$104,"&lt;&gt;")+COUNTIF('Pillar 4'!$B$5:$B$104,"&lt;&gt;")+COUNTIF('Tuan Buffer'!$B$5:$B$104,"&lt;&gt;")</f>
        <v/>
      </c>
    </row>
    <row r="16">
      <c r="A16" s="44" t="inlineStr">
        <is>
          <t>Số tuần lịch trong tháng:</t>
        </is>
      </c>
      <c r="B16" s="45" t="n">
        <v>5</v>
      </c>
    </row>
    <row r="17">
      <c r="A17" s="44" t="inlineStr">
        <is>
          <t>Buffer newsjacking mục tiêu (Config):</t>
        </is>
      </c>
      <c r="B17" s="46">
        <f>Config!$B$10</f>
        <v/>
      </c>
    </row>
  </sheetData>
  <mergeCells count="1">
    <mergeCell ref="A1:E1"/>
  </mergeCells>
  <conditionalFormatting sqref="D4:D8">
    <cfRule type="expression" priority="1" dxfId="3">
      <formula>D4="✓ Đạt"</formula>
    </cfRule>
  </conditionalFormatting>
  <conditionalFormatting sqref="E11:E13">
    <cfRule type="expression" priority="2" dxfId="3">
      <formula>LEFT(E11,1)="✓"</formula>
    </cfRule>
    <cfRule type="cellIs" priority="3" operator="equal" dxfId="4">
      <formula>"✗ Thấp hơn baseline"</formula>
    </cfRule>
    <cfRule type="cellIs" priority="4" operator="equal" dxfId="5">
      <formula>"✗ Cao hơn baseline"</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showGridLines="0" workbookViewId="0">
      <selection activeCell="A1" sqref="A1"/>
    </sheetView>
  </sheetViews>
  <sheetFormatPr baseColWidth="8" defaultRowHeight="15"/>
  <cols>
    <col width="26" customWidth="1" min="1" max="1"/>
    <col width="46" customWidth="1" min="2" max="2"/>
    <col width="70" customWidth="1" min="3" max="3"/>
  </cols>
  <sheetData>
    <row r="1" ht="24" customHeight="1">
      <c r="A1" s="47" t="inlineStr">
        <is>
          <t>CONFIG — CẤU HÌNH THƯƠNG HIỆU / NGÀNH HÀNG (sửa ở đây để tái sử dụng template)</t>
        </is>
      </c>
    </row>
    <row r="3">
      <c r="A3" s="48" t="inlineStr">
        <is>
          <t>THÔNG TIN CHUNG</t>
        </is>
      </c>
    </row>
    <row r="4">
      <c r="A4" s="49" t="inlineStr">
        <is>
          <t>Ngành hàng</t>
        </is>
      </c>
      <c r="B4" s="50" t="inlineStr">
        <is>
          <t>[Điền tên ngành hàng]</t>
        </is>
      </c>
      <c r="C4" s="51" t="inlineStr">
        <is>
          <t>Chỉ mang tính mô tả, không ảnh hưởng công thức.</t>
        </is>
      </c>
    </row>
    <row r="5">
      <c r="A5" s="49" t="inlineStr">
        <is>
          <t>Thương hiệu (Brand)</t>
        </is>
      </c>
      <c r="B5" s="50" t="inlineStr">
        <is>
          <t>[Điền tên thương hiệu]</t>
        </is>
      </c>
      <c r="C5" s="51" t="inlineStr">
        <is>
          <t>Hiển thị tại tiêu đề Calendar/Dashboard.</t>
        </is>
      </c>
    </row>
    <row r="6">
      <c r="A6" s="49" t="inlineStr">
        <is>
          <t>Persona mục tiêu</t>
        </is>
      </c>
      <c r="B6" s="50" t="inlineStr">
        <is>
          <t>[Điền tên/mô tả Persona mục tiêu]</t>
        </is>
      </c>
      <c r="C6" s="51" t="inlineStr">
        <is>
          <t>Điền persona chính; nếu có nhiều persona, tạo thêm dòng trong Pillar.</t>
        </is>
      </c>
    </row>
    <row r="7">
      <c r="A7" s="49" t="inlineStr">
        <is>
          <t>Năm kế hoạch</t>
        </is>
      </c>
      <c r="B7" s="50" t="n">
        <v>2026</v>
      </c>
      <c r="C7" s="51" t="inlineStr">
        <is>
          <t>Số nguyên, ví dụ 2026. Đổi giá trị này + Tháng sẽ tự đổi lưới Calendar khi chạy lại script.</t>
        </is>
      </c>
    </row>
    <row r="8">
      <c r="A8" s="49" t="inlineStr">
        <is>
          <t>Tháng kế hoạch</t>
        </is>
      </c>
      <c r="B8" s="50" t="n">
        <v>9</v>
      </c>
      <c r="C8" s="51" t="inlineStr">
        <is>
          <t>Số 1-12.</t>
        </is>
      </c>
    </row>
    <row r="9">
      <c r="A9" s="49" t="inlineStr">
        <is>
          <t>Ngày đầu tháng</t>
        </is>
      </c>
      <c r="B9" s="52" t="n">
        <v>46266</v>
      </c>
      <c r="C9" s="51" t="inlineStr">
        <is>
          <t>Dùng làm mốc cho công thức tính Tuần (auto) ở các sheet Pillar.</t>
        </is>
      </c>
    </row>
    <row r="10">
      <c r="A10" s="49" t="inlineStr">
        <is>
          <t>Buffer newsjacking (%)</t>
        </is>
      </c>
      <c r="B10" s="53" t="n">
        <v>0.12</v>
      </c>
      <c r="C10" s="51" t="inlineStr">
        <is>
          <t>Tỷ lệ ngày/tuần chừa trống không gán cluster, dùng bắt trend (khung đề xuất 10-15%).</t>
        </is>
      </c>
    </row>
    <row r="12">
      <c r="A12" s="48" t="inlineStr">
        <is>
          <t>DANH SÁCH CONTENT PILLAR</t>
        </is>
      </c>
    </row>
    <row r="13">
      <c r="A13" s="36" t="inlineStr">
        <is>
          <t>Tên sheet Pillar</t>
        </is>
      </c>
      <c r="B13" s="36" t="inlineStr">
        <is>
          <t>Tiêu đề đầy đủ</t>
        </is>
      </c>
      <c r="C13" s="36" t="inlineStr">
        <is>
          <t>Màu header (hex)</t>
        </is>
      </c>
    </row>
    <row r="14">
      <c r="A14" s="54" t="inlineStr">
        <is>
          <t>Pillar 1</t>
        </is>
      </c>
      <c r="B14" s="54" t="inlineStr">
        <is>
          <t>PILLAR 1: [Điền tên chủ đề Pillar 1]</t>
        </is>
      </c>
      <c r="C14" s="55" t="inlineStr">
        <is>
          <t>548235</t>
        </is>
      </c>
    </row>
    <row r="15">
      <c r="A15" s="54" t="inlineStr">
        <is>
          <t>Pillar 2</t>
        </is>
      </c>
      <c r="B15" s="54" t="inlineStr">
        <is>
          <t>PILLAR 2: [Điền tên chủ đề Pillar 2]</t>
        </is>
      </c>
      <c r="C15" s="56" t="inlineStr">
        <is>
          <t>BF8F00</t>
        </is>
      </c>
    </row>
    <row r="16">
      <c r="A16" s="54" t="inlineStr">
        <is>
          <t>Pillar 3</t>
        </is>
      </c>
      <c r="B16" s="54" t="inlineStr">
        <is>
          <t>PILLAR 3: [Điền tên chủ đề Pillar 3]</t>
        </is>
      </c>
      <c r="C16" s="57" t="inlineStr">
        <is>
          <t>2E75B6</t>
        </is>
      </c>
    </row>
    <row r="17">
      <c r="A17" s="54" t="inlineStr">
        <is>
          <t>Pillar 4</t>
        </is>
      </c>
      <c r="B17" s="54" t="inlineStr">
        <is>
          <t>PILLAR 4: [Điền tên chủ đề Pillar 4]</t>
        </is>
      </c>
      <c r="C17" s="58" t="inlineStr">
        <is>
          <t>C55A11</t>
        </is>
      </c>
    </row>
    <row r="18">
      <c r="A18" s="54" t="inlineStr">
        <is>
          <t>Tuan Buffer</t>
        </is>
      </c>
      <c r="B18" s="54" t="inlineStr">
        <is>
          <t>TUẦN BUFFER: Tổng hợp đa Pillar / Newsjacking</t>
        </is>
      </c>
      <c r="C18" s="59" t="inlineStr">
        <is>
          <t>7F7F7F</t>
        </is>
      </c>
    </row>
    <row r="20">
      <c r="A20" s="48" t="inlineStr">
        <is>
          <t>DANH MỤC DÙNG CHO DROPDOWN (sheet Pillar)</t>
        </is>
      </c>
    </row>
    <row r="21">
      <c r="A21" s="60" t="inlineStr">
        <is>
          <t>Kênh (Channels)</t>
        </is>
      </c>
      <c r="B21" s="54" t="inlineStr">
        <is>
          <t>Facebook, Zalo OA, Website, TikTok, Email</t>
        </is>
      </c>
    </row>
    <row r="22">
      <c r="A22" s="60" t="inlineStr">
        <is>
          <t>Mục tiêu phễu (Funnel)</t>
        </is>
      </c>
      <c r="B22" s="54" t="inlineStr">
        <is>
          <t>TOFU, MOFU, BOFU</t>
        </is>
      </c>
    </row>
    <row r="23">
      <c r="A23" s="60" t="inlineStr">
        <is>
          <t>Trạng thái (Status)</t>
        </is>
      </c>
      <c r="B23" s="54" t="inlineStr">
        <is>
          <t>Draft, Review, Approved, Published</t>
        </is>
      </c>
    </row>
    <row r="24">
      <c r="A24" s="60" t="inlineStr">
        <is>
          <t>Loại 3H</t>
        </is>
      </c>
      <c r="B24" s="54" t="inlineStr">
        <is>
          <t>Hero, Hub, Hygiene</t>
        </is>
      </c>
    </row>
    <row r="26" ht="32" customHeight="1">
      <c r="A26" s="61" t="inlineStr">
        <is>
          <t>Ghi chú: Đây là bảng tham chiếu hiển thị. Do giới hạn của Excel công thức tĩnh, danh sách dropdown thực tế trong sheet Pillar được thiết lập sẵn theo đúng danh mục này khi sinh file. Muốn đổi danh mục cho ngành khác, sửa CONFIG trong script rồi chạy lại.</t>
        </is>
      </c>
    </row>
  </sheetData>
  <mergeCells count="2">
    <mergeCell ref="A1:C1"/>
    <mergeCell ref="A26:C2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10" customWidth="1" min="3" max="3"/>
    <col width="14" customWidth="1" min="4" max="4"/>
    <col width="26" customWidth="1" min="5" max="5"/>
    <col width="26" customWidth="1" min="6" max="6"/>
    <col width="26" customWidth="1" min="7" max="7"/>
    <col width="20" customWidth="1" min="8" max="8"/>
    <col width="40" customWidth="1" min="9" max="9"/>
    <col width="26" customWidth="1" min="10" max="10"/>
    <col width="12" customWidth="1" min="11" max="11"/>
    <col width="12" customWidth="1" min="12" max="12"/>
    <col width="10" customWidth="1" min="13" max="13"/>
    <col width="12" customWidth="1" min="14" max="14"/>
    <col width="16" customWidth="1" min="15" max="15"/>
    <col width="12" customWidth="1" min="16" max="16"/>
    <col width="22" customWidth="1" min="17" max="17"/>
  </cols>
  <sheetData>
    <row r="1" ht="28" customHeight="1">
      <c r="A1" s="62" t="inlineStr">
        <is>
          <t>PILLAR 1: [Điền tên chủ đề Pillar 1]</t>
        </is>
      </c>
    </row>
    <row r="2" ht="18" customHeight="1">
      <c r="A2" s="63" t="inlineStr">
        <is>
          <t>Persona: [Điền tên/mô tả Persona mục tiêu]  |  Thương hiệu: [Điền tên thương hiệu]  |  Pillar này đăng vào: Tuần 1  (Xem đầy đủ cấu hình tại sheet Config)</t>
        </is>
      </c>
    </row>
    <row r="4" ht="32" customHeight="1">
      <c r="A4" s="64" t="inlineStr">
        <is>
          <t>Mã Cluster</t>
        </is>
      </c>
      <c r="B4" s="64" t="inlineStr">
        <is>
          <t>Tên bài/Chủ đề</t>
        </is>
      </c>
      <c r="C4" s="64" t="inlineStr">
        <is>
          <t>Loại 3H</t>
        </is>
      </c>
      <c r="D4" s="64" t="inlineStr">
        <is>
          <t>Mục tiêu phễu
(TOFU/MOFU/BOFU)</t>
        </is>
      </c>
      <c r="E4" s="64" t="inlineStr">
        <is>
          <t>Persona mục tiêu</t>
        </is>
      </c>
      <c r="F4" s="64" t="inlineStr">
        <is>
          <t>Từ khóa chính</t>
        </is>
      </c>
      <c r="G4" s="64" t="inlineStr">
        <is>
          <t>Tone giọng điệu</t>
        </is>
      </c>
      <c r="H4" s="64" t="inlineStr">
        <is>
          <t>Độ dài mong muốn</t>
        </is>
      </c>
      <c r="I4" s="64" t="inlineStr">
        <is>
          <t>Outline/Dàn ý chính</t>
        </is>
      </c>
      <c r="J4" s="64" t="inlineStr">
        <is>
          <t>CTA mong muốn</t>
        </is>
      </c>
      <c r="K4" s="64" t="inlineStr">
        <is>
          <t>Kênh đăng</t>
        </is>
      </c>
      <c r="L4" s="64" t="inlineStr">
        <is>
          <t>Ngày đăng</t>
        </is>
      </c>
      <c r="M4" s="64" t="inlineStr">
        <is>
          <t>Tuần (auto)</t>
        </is>
      </c>
      <c r="N4" s="64" t="inlineStr">
        <is>
          <t>Deadline</t>
        </is>
      </c>
      <c r="O4" s="64" t="inlineStr">
        <is>
          <t>Người phụ trách</t>
        </is>
      </c>
      <c r="P4" s="64" t="inlineStr">
        <is>
          <t>Trạng thái</t>
        </is>
      </c>
      <c r="Q4" s="64" t="inlineStr">
        <is>
          <t>KPI dự kiến</t>
        </is>
      </c>
    </row>
    <row r="5">
      <c r="A5" s="65" t="n"/>
      <c r="B5" s="65" t="n"/>
      <c r="C5" s="65" t="n"/>
      <c r="D5" s="65" t="n"/>
      <c r="E5" s="65" t="n"/>
      <c r="F5" s="65" t="n"/>
      <c r="G5" s="65" t="n"/>
      <c r="H5" s="65" t="n"/>
      <c r="I5" s="65" t="n"/>
      <c r="J5" s="65" t="n"/>
      <c r="K5" s="65" t="n"/>
      <c r="L5" s="66" t="n"/>
      <c r="M5" s="65">
        <f>IF(L5="","",INT((L5-Config!$B$9+WEEKDAY(Config!$B$9,2)-1)/7)+1)</f>
        <v/>
      </c>
      <c r="N5" s="66">
        <f>IF(L5="","",L5-2)</f>
        <v/>
      </c>
      <c r="O5" s="65" t="n"/>
      <c r="P5" s="65" t="n"/>
      <c r="Q5" s="65" t="n"/>
    </row>
    <row r="6">
      <c r="A6" s="65" t="n"/>
      <c r="B6" s="65" t="n"/>
      <c r="C6" s="65" t="n"/>
      <c r="D6" s="65" t="n"/>
      <c r="E6" s="65" t="n"/>
      <c r="F6" s="65" t="n"/>
      <c r="G6" s="65" t="n"/>
      <c r="H6" s="65" t="n"/>
      <c r="I6" s="65" t="n"/>
      <c r="J6" s="65" t="n"/>
      <c r="K6" s="65" t="n"/>
      <c r="L6" s="66" t="n"/>
      <c r="M6" s="65">
        <f>IF(L6="","",INT((L6-Config!$B$9+WEEKDAY(Config!$B$9,2)-1)/7)+1)</f>
        <v/>
      </c>
      <c r="N6" s="66">
        <f>IF(L6="","",L6-2)</f>
        <v/>
      </c>
      <c r="O6" s="65" t="n"/>
      <c r="P6" s="65" t="n"/>
      <c r="Q6" s="65" t="n"/>
    </row>
    <row r="7">
      <c r="A7" s="65" t="n"/>
      <c r="B7" s="65" t="n"/>
      <c r="C7" s="65" t="n"/>
      <c r="D7" s="65" t="n"/>
      <c r="E7" s="65" t="n"/>
      <c r="F7" s="65" t="n"/>
      <c r="G7" s="65" t="n"/>
      <c r="H7" s="65" t="n"/>
      <c r="I7" s="65" t="n"/>
      <c r="J7" s="65" t="n"/>
      <c r="K7" s="65" t="n"/>
      <c r="L7" s="66" t="n"/>
      <c r="M7" s="65">
        <f>IF(L7="","",INT((L7-Config!$B$9+WEEKDAY(Config!$B$9,2)-1)/7)+1)</f>
        <v/>
      </c>
      <c r="N7" s="66">
        <f>IF(L7="","",L7-2)</f>
        <v/>
      </c>
      <c r="O7" s="65" t="n"/>
      <c r="P7" s="65" t="n"/>
      <c r="Q7" s="65" t="n"/>
    </row>
    <row r="8">
      <c r="A8" s="65" t="n"/>
      <c r="B8" s="65" t="n"/>
      <c r="C8" s="65" t="n"/>
      <c r="D8" s="65" t="n"/>
      <c r="E8" s="65" t="n"/>
      <c r="F8" s="65" t="n"/>
      <c r="G8" s="65" t="n"/>
      <c r="H8" s="65" t="n"/>
      <c r="I8" s="65" t="n"/>
      <c r="J8" s="65" t="n"/>
      <c r="K8" s="65" t="n"/>
      <c r="L8" s="66" t="n"/>
      <c r="M8" s="65">
        <f>IF(L8="","",INT((L8-Config!$B$9+WEEKDAY(Config!$B$9,2)-1)/7)+1)</f>
        <v/>
      </c>
      <c r="N8" s="66">
        <f>IF(L8="","",L8-2)</f>
        <v/>
      </c>
      <c r="O8" s="65" t="n"/>
      <c r="P8" s="65" t="n"/>
      <c r="Q8" s="65" t="n"/>
    </row>
    <row r="9">
      <c r="A9" s="65" t="n"/>
      <c r="B9" s="65" t="n"/>
      <c r="C9" s="65" t="n"/>
      <c r="D9" s="65" t="n"/>
      <c r="E9" s="65" t="n"/>
      <c r="F9" s="65" t="n"/>
      <c r="G9" s="65" t="n"/>
      <c r="H9" s="65" t="n"/>
      <c r="I9" s="65" t="n"/>
      <c r="J9" s="65" t="n"/>
      <c r="K9" s="65" t="n"/>
      <c r="L9" s="66" t="n"/>
      <c r="M9" s="65">
        <f>IF(L9="","",INT((L9-Config!$B$9+WEEKDAY(Config!$B$9,2)-1)/7)+1)</f>
        <v/>
      </c>
      <c r="N9" s="66">
        <f>IF(L9="","",L9-2)</f>
        <v/>
      </c>
      <c r="O9" s="65" t="n"/>
      <c r="P9" s="65" t="n"/>
      <c r="Q9" s="65" t="n"/>
    </row>
    <row r="10">
      <c r="A10" s="65" t="n"/>
      <c r="B10" s="65" t="n"/>
      <c r="C10" s="65" t="n"/>
      <c r="D10" s="65" t="n"/>
      <c r="E10" s="65" t="n"/>
      <c r="F10" s="65" t="n"/>
      <c r="G10" s="65" t="n"/>
      <c r="H10" s="65" t="n"/>
      <c r="I10" s="65" t="n"/>
      <c r="J10" s="65" t="n"/>
      <c r="K10" s="65" t="n"/>
      <c r="L10" s="66" t="n"/>
      <c r="M10" s="65">
        <f>IF(L10="","",INT((L10-Config!$B$9+WEEKDAY(Config!$B$9,2)-1)/7)+1)</f>
        <v/>
      </c>
      <c r="N10" s="66">
        <f>IF(L10="","",L10-2)</f>
        <v/>
      </c>
      <c r="O10" s="65" t="n"/>
      <c r="P10" s="65" t="n"/>
      <c r="Q10" s="65" t="n"/>
    </row>
    <row r="11">
      <c r="A11" s="65" t="n"/>
      <c r="B11" s="65" t="n"/>
      <c r="C11" s="65" t="n"/>
      <c r="D11" s="65" t="n"/>
      <c r="E11" s="65" t="n"/>
      <c r="F11" s="65" t="n"/>
      <c r="G11" s="65" t="n"/>
      <c r="H11" s="65" t="n"/>
      <c r="I11" s="65" t="n"/>
      <c r="J11" s="65" t="n"/>
      <c r="K11" s="65" t="n"/>
      <c r="L11" s="66" t="n"/>
      <c r="M11" s="65">
        <f>IF(L11="","",INT((L11-Config!$B$9+WEEKDAY(Config!$B$9,2)-1)/7)+1)</f>
        <v/>
      </c>
      <c r="N11" s="66">
        <f>IF(L11="","",L11-2)</f>
        <v/>
      </c>
      <c r="O11" s="65" t="n"/>
      <c r="P11" s="65" t="n"/>
      <c r="Q11" s="65" t="n"/>
    </row>
    <row r="12">
      <c r="A12" s="65" t="n"/>
      <c r="B12" s="65" t="n"/>
      <c r="C12" s="65" t="n"/>
      <c r="D12" s="65" t="n"/>
      <c r="E12" s="65" t="n"/>
      <c r="F12" s="65" t="n"/>
      <c r="G12" s="65" t="n"/>
      <c r="H12" s="65" t="n"/>
      <c r="I12" s="65" t="n"/>
      <c r="J12" s="65" t="n"/>
      <c r="K12" s="65" t="n"/>
      <c r="L12" s="66" t="n"/>
      <c r="M12" s="65">
        <f>IF(L12="","",INT((L12-Config!$B$9+WEEKDAY(Config!$B$9,2)-1)/7)+1)</f>
        <v/>
      </c>
      <c r="N12" s="66">
        <f>IF(L12="","",L12-2)</f>
        <v/>
      </c>
      <c r="O12" s="65" t="n"/>
      <c r="P12" s="65" t="n"/>
      <c r="Q12" s="65" t="n"/>
    </row>
    <row r="13">
      <c r="A13" s="65" t="n"/>
      <c r="B13" s="65" t="n"/>
      <c r="C13" s="65" t="n"/>
      <c r="D13" s="65" t="n"/>
      <c r="E13" s="65" t="n"/>
      <c r="F13" s="65" t="n"/>
      <c r="G13" s="65" t="n"/>
      <c r="H13" s="65" t="n"/>
      <c r="I13" s="65" t="n"/>
      <c r="J13" s="65" t="n"/>
      <c r="K13" s="65" t="n"/>
      <c r="L13" s="66" t="n"/>
      <c r="M13" s="65">
        <f>IF(L13="","",INT((L13-Config!$B$9+WEEKDAY(Config!$B$9,2)-1)/7)+1)</f>
        <v/>
      </c>
      <c r="N13" s="66">
        <f>IF(L13="","",L13-2)</f>
        <v/>
      </c>
      <c r="O13" s="65" t="n"/>
      <c r="P13" s="65" t="n"/>
      <c r="Q13" s="65" t="n"/>
    </row>
    <row r="14">
      <c r="A14" s="65" t="n"/>
      <c r="B14" s="65" t="n"/>
      <c r="C14" s="65" t="n"/>
      <c r="D14" s="65" t="n"/>
      <c r="E14" s="65" t="n"/>
      <c r="F14" s="65" t="n"/>
      <c r="G14" s="65" t="n"/>
      <c r="H14" s="65" t="n"/>
      <c r="I14" s="65" t="n"/>
      <c r="J14" s="65" t="n"/>
      <c r="K14" s="65" t="n"/>
      <c r="L14" s="66" t="n"/>
      <c r="M14" s="65">
        <f>IF(L14="","",INT((L14-Config!$B$9+WEEKDAY(Config!$B$9,2)-1)/7)+1)</f>
        <v/>
      </c>
      <c r="N14" s="66">
        <f>IF(L14="","",L14-2)</f>
        <v/>
      </c>
      <c r="O14" s="65" t="n"/>
      <c r="P14" s="65" t="n"/>
      <c r="Q14" s="65" t="n"/>
    </row>
    <row r="15">
      <c r="A15" s="65" t="n"/>
      <c r="B15" s="65" t="n"/>
      <c r="C15" s="65" t="n"/>
      <c r="D15" s="65" t="n"/>
      <c r="E15" s="65" t="n"/>
      <c r="F15" s="65" t="n"/>
      <c r="G15" s="65" t="n"/>
      <c r="H15" s="65" t="n"/>
      <c r="I15" s="65" t="n"/>
      <c r="J15" s="65" t="n"/>
      <c r="K15" s="65" t="n"/>
      <c r="L15" s="66" t="n"/>
      <c r="M15" s="65">
        <f>IF(L15="","",INT((L15-Config!$B$9+WEEKDAY(Config!$B$9,2)-1)/7)+1)</f>
        <v/>
      </c>
      <c r="N15" s="66">
        <f>IF(L15="","",L15-2)</f>
        <v/>
      </c>
      <c r="O15" s="65" t="n"/>
      <c r="P15" s="65" t="n"/>
      <c r="Q15" s="65" t="n"/>
    </row>
    <row r="16">
      <c r="A16" s="65" t="n"/>
      <c r="B16" s="65" t="n"/>
      <c r="C16" s="65" t="n"/>
      <c r="D16" s="65" t="n"/>
      <c r="E16" s="65" t="n"/>
      <c r="F16" s="65" t="n"/>
      <c r="G16" s="65" t="n"/>
      <c r="H16" s="65" t="n"/>
      <c r="I16" s="65" t="n"/>
      <c r="J16" s="65" t="n"/>
      <c r="K16" s="65" t="n"/>
      <c r="L16" s="66" t="n"/>
      <c r="M16" s="65">
        <f>IF(L16="","",INT((L16-Config!$B$9+WEEKDAY(Config!$B$9,2)-1)/7)+1)</f>
        <v/>
      </c>
      <c r="N16" s="66">
        <f>IF(L16="","",L16-2)</f>
        <v/>
      </c>
      <c r="O16" s="65" t="n"/>
      <c r="P16" s="65" t="n"/>
      <c r="Q16" s="65" t="n"/>
    </row>
    <row r="17">
      <c r="A17" s="65" t="n"/>
      <c r="B17" s="65" t="n"/>
      <c r="C17" s="65" t="n"/>
      <c r="D17" s="65" t="n"/>
      <c r="E17" s="65" t="n"/>
      <c r="F17" s="65" t="n"/>
      <c r="G17" s="65" t="n"/>
      <c r="H17" s="65" t="n"/>
      <c r="I17" s="65" t="n"/>
      <c r="J17" s="65" t="n"/>
      <c r="K17" s="65" t="n"/>
      <c r="L17" s="66" t="n"/>
      <c r="M17" s="65">
        <f>IF(L17="","",INT((L17-Config!$B$9+WEEKDAY(Config!$B$9,2)-1)/7)+1)</f>
        <v/>
      </c>
      <c r="N17" s="66">
        <f>IF(L17="","",L17-2)</f>
        <v/>
      </c>
      <c r="O17" s="65" t="n"/>
      <c r="P17" s="65" t="n"/>
      <c r="Q17" s="65" t="n"/>
    </row>
    <row r="18">
      <c r="A18" s="65" t="n"/>
      <c r="B18" s="65" t="n"/>
      <c r="C18" s="65" t="n"/>
      <c r="D18" s="65" t="n"/>
      <c r="E18" s="65" t="n"/>
      <c r="F18" s="65" t="n"/>
      <c r="G18" s="65" t="n"/>
      <c r="H18" s="65" t="n"/>
      <c r="I18" s="65" t="n"/>
      <c r="J18" s="65" t="n"/>
      <c r="K18" s="65" t="n"/>
      <c r="L18" s="66" t="n"/>
      <c r="M18" s="65">
        <f>IF(L18="","",INT((L18-Config!$B$9+WEEKDAY(Config!$B$9,2)-1)/7)+1)</f>
        <v/>
      </c>
      <c r="N18" s="66">
        <f>IF(L18="","",L18-2)</f>
        <v/>
      </c>
      <c r="O18" s="65" t="n"/>
      <c r="P18" s="65" t="n"/>
      <c r="Q18" s="65" t="n"/>
    </row>
    <row r="19">
      <c r="A19" s="65" t="n"/>
      <c r="B19" s="65" t="n"/>
      <c r="C19" s="65" t="n"/>
      <c r="D19" s="65" t="n"/>
      <c r="E19" s="65" t="n"/>
      <c r="F19" s="65" t="n"/>
      <c r="G19" s="65" t="n"/>
      <c r="H19" s="65" t="n"/>
      <c r="I19" s="65" t="n"/>
      <c r="J19" s="65" t="n"/>
      <c r="K19" s="65" t="n"/>
      <c r="L19" s="66" t="n"/>
      <c r="M19" s="65">
        <f>IF(L19="","",INT((L19-Config!$B$9+WEEKDAY(Config!$B$9,2)-1)/7)+1)</f>
        <v/>
      </c>
      <c r="N19" s="66">
        <f>IF(L19="","",L19-2)</f>
        <v/>
      </c>
      <c r="O19" s="65" t="n"/>
      <c r="P19" s="65" t="n"/>
      <c r="Q19" s="65" t="n"/>
    </row>
    <row r="20">
      <c r="A20" s="65" t="n"/>
      <c r="B20" s="65" t="n"/>
      <c r="C20" s="65" t="n"/>
      <c r="D20" s="65" t="n"/>
      <c r="E20" s="65" t="n"/>
      <c r="F20" s="65" t="n"/>
      <c r="G20" s="65" t="n"/>
      <c r="H20" s="65" t="n"/>
      <c r="I20" s="65" t="n"/>
      <c r="J20" s="65" t="n"/>
      <c r="K20" s="65" t="n"/>
      <c r="L20" s="66" t="n"/>
      <c r="M20" s="65">
        <f>IF(L20="","",INT((L20-Config!$B$9+WEEKDAY(Config!$B$9,2)-1)/7)+1)</f>
        <v/>
      </c>
      <c r="N20" s="66">
        <f>IF(L20="","",L20-2)</f>
        <v/>
      </c>
      <c r="O20" s="65" t="n"/>
      <c r="P20" s="65" t="n"/>
      <c r="Q20" s="65" t="n"/>
    </row>
    <row r="21">
      <c r="A21" s="65" t="n"/>
      <c r="B21" s="65" t="n"/>
      <c r="C21" s="65" t="n"/>
      <c r="D21" s="65" t="n"/>
      <c r="E21" s="65" t="n"/>
      <c r="F21" s="65" t="n"/>
      <c r="G21" s="65" t="n"/>
      <c r="H21" s="65" t="n"/>
      <c r="I21" s="65" t="n"/>
      <c r="J21" s="65" t="n"/>
      <c r="K21" s="65" t="n"/>
      <c r="L21" s="66" t="n"/>
      <c r="M21" s="65">
        <f>IF(L21="","",INT((L21-Config!$B$9+WEEKDAY(Config!$B$9,2)-1)/7)+1)</f>
        <v/>
      </c>
      <c r="N21" s="66">
        <f>IF(L21="","",L21-2)</f>
        <v/>
      </c>
      <c r="O21" s="65" t="n"/>
      <c r="P21" s="65" t="n"/>
      <c r="Q21" s="65" t="n"/>
    </row>
    <row r="22">
      <c r="A22" s="65" t="n"/>
      <c r="B22" s="65" t="n"/>
      <c r="C22" s="65" t="n"/>
      <c r="D22" s="65" t="n"/>
      <c r="E22" s="65" t="n"/>
      <c r="F22" s="65" t="n"/>
      <c r="G22" s="65" t="n"/>
      <c r="H22" s="65" t="n"/>
      <c r="I22" s="65" t="n"/>
      <c r="J22" s="65" t="n"/>
      <c r="K22" s="65" t="n"/>
      <c r="L22" s="66" t="n"/>
      <c r="M22" s="65">
        <f>IF(L22="","",INT((L22-Config!$B$9+WEEKDAY(Config!$B$9,2)-1)/7)+1)</f>
        <v/>
      </c>
      <c r="N22" s="66">
        <f>IF(L22="","",L22-2)</f>
        <v/>
      </c>
      <c r="O22" s="65" t="n"/>
      <c r="P22" s="65" t="n"/>
      <c r="Q22" s="65" t="n"/>
    </row>
    <row r="23">
      <c r="A23" s="65" t="n"/>
      <c r="B23" s="65" t="n"/>
      <c r="C23" s="65" t="n"/>
      <c r="D23" s="65" t="n"/>
      <c r="E23" s="65" t="n"/>
      <c r="F23" s="65" t="n"/>
      <c r="G23" s="65" t="n"/>
      <c r="H23" s="65" t="n"/>
      <c r="I23" s="65" t="n"/>
      <c r="J23" s="65" t="n"/>
      <c r="K23" s="65" t="n"/>
      <c r="L23" s="66" t="n"/>
      <c r="M23" s="65">
        <f>IF(L23="","",INT((L23-Config!$B$9+WEEKDAY(Config!$B$9,2)-1)/7)+1)</f>
        <v/>
      </c>
      <c r="N23" s="66">
        <f>IF(L23="","",L23-2)</f>
        <v/>
      </c>
      <c r="O23" s="65" t="n"/>
      <c r="P23" s="65" t="n"/>
      <c r="Q23" s="65" t="n"/>
    </row>
    <row r="24">
      <c r="A24" s="65" t="n"/>
      <c r="B24" s="65" t="n"/>
      <c r="C24" s="65" t="n"/>
      <c r="D24" s="65" t="n"/>
      <c r="E24" s="65" t="n"/>
      <c r="F24" s="65" t="n"/>
      <c r="G24" s="65" t="n"/>
      <c r="H24" s="65" t="n"/>
      <c r="I24" s="65" t="n"/>
      <c r="J24" s="65" t="n"/>
      <c r="K24" s="65" t="n"/>
      <c r="L24" s="66" t="n"/>
      <c r="M24" s="65">
        <f>IF(L24="","",INT((L24-Config!$B$9+WEEKDAY(Config!$B$9,2)-1)/7)+1)</f>
        <v/>
      </c>
      <c r="N24" s="66">
        <f>IF(L24="","",L24-2)</f>
        <v/>
      </c>
      <c r="O24" s="65" t="n"/>
      <c r="P24" s="65" t="n"/>
      <c r="Q24" s="65" t="n"/>
    </row>
    <row r="25">
      <c r="A25" s="65" t="n"/>
      <c r="B25" s="65" t="n"/>
      <c r="C25" s="65" t="n"/>
      <c r="D25" s="65" t="n"/>
      <c r="E25" s="65" t="n"/>
      <c r="F25" s="65" t="n"/>
      <c r="G25" s="65" t="n"/>
      <c r="H25" s="65" t="n"/>
      <c r="I25" s="65" t="n"/>
      <c r="J25" s="65" t="n"/>
      <c r="K25" s="65" t="n"/>
      <c r="L25" s="66" t="n"/>
      <c r="M25" s="65">
        <f>IF(L25="","",INT((L25-Config!$B$9+WEEKDAY(Config!$B$9,2)-1)/7)+1)</f>
        <v/>
      </c>
      <c r="N25" s="66">
        <f>IF(L25="","",L25-2)</f>
        <v/>
      </c>
      <c r="O25" s="65" t="n"/>
      <c r="P25" s="65" t="n"/>
      <c r="Q25" s="65" t="n"/>
    </row>
    <row r="26">
      <c r="A26" s="65" t="n"/>
      <c r="B26" s="65" t="n"/>
      <c r="C26" s="65" t="n"/>
      <c r="D26" s="65" t="n"/>
      <c r="E26" s="65" t="n"/>
      <c r="F26" s="65" t="n"/>
      <c r="G26" s="65" t="n"/>
      <c r="H26" s="65" t="n"/>
      <c r="I26" s="65" t="n"/>
      <c r="J26" s="65" t="n"/>
      <c r="K26" s="65" t="n"/>
      <c r="L26" s="66" t="n"/>
      <c r="M26" s="65">
        <f>IF(L26="","",INT((L26-Config!$B$9+WEEKDAY(Config!$B$9,2)-1)/7)+1)</f>
        <v/>
      </c>
      <c r="N26" s="66">
        <f>IF(L26="","",L26-2)</f>
        <v/>
      </c>
      <c r="O26" s="65" t="n"/>
      <c r="P26" s="65" t="n"/>
      <c r="Q26" s="65" t="n"/>
    </row>
    <row r="27">
      <c r="A27" s="65" t="n"/>
      <c r="B27" s="65" t="n"/>
      <c r="C27" s="65" t="n"/>
      <c r="D27" s="65" t="n"/>
      <c r="E27" s="65" t="n"/>
      <c r="F27" s="65" t="n"/>
      <c r="G27" s="65" t="n"/>
      <c r="H27" s="65" t="n"/>
      <c r="I27" s="65" t="n"/>
      <c r="J27" s="65" t="n"/>
      <c r="K27" s="65" t="n"/>
      <c r="L27" s="66" t="n"/>
      <c r="M27" s="65">
        <f>IF(L27="","",INT((L27-Config!$B$9+WEEKDAY(Config!$B$9,2)-1)/7)+1)</f>
        <v/>
      </c>
      <c r="N27" s="66">
        <f>IF(L27="","",L27-2)</f>
        <v/>
      </c>
      <c r="O27" s="65" t="n"/>
      <c r="P27" s="65" t="n"/>
      <c r="Q27" s="65" t="n"/>
    </row>
    <row r="28">
      <c r="A28" s="65" t="n"/>
      <c r="B28" s="65" t="n"/>
      <c r="C28" s="65" t="n"/>
      <c r="D28" s="65" t="n"/>
      <c r="E28" s="65" t="n"/>
      <c r="F28" s="65" t="n"/>
      <c r="G28" s="65" t="n"/>
      <c r="H28" s="65" t="n"/>
      <c r="I28" s="65" t="n"/>
      <c r="J28" s="65" t="n"/>
      <c r="K28" s="65" t="n"/>
      <c r="L28" s="66" t="n"/>
      <c r="M28" s="65">
        <f>IF(L28="","",INT((L28-Config!$B$9+WEEKDAY(Config!$B$9,2)-1)/7)+1)</f>
        <v/>
      </c>
      <c r="N28" s="66">
        <f>IF(L28="","",L28-2)</f>
        <v/>
      </c>
      <c r="O28" s="65" t="n"/>
      <c r="P28" s="65" t="n"/>
      <c r="Q28" s="65" t="n"/>
    </row>
    <row r="29">
      <c r="A29" s="65" t="n"/>
      <c r="B29" s="65" t="n"/>
      <c r="C29" s="65" t="n"/>
      <c r="D29" s="65" t="n"/>
      <c r="E29" s="65" t="n"/>
      <c r="F29" s="65" t="n"/>
      <c r="G29" s="65" t="n"/>
      <c r="H29" s="65" t="n"/>
      <c r="I29" s="65" t="n"/>
      <c r="J29" s="65" t="n"/>
      <c r="K29" s="65" t="n"/>
      <c r="L29" s="66" t="n"/>
      <c r="M29" s="65">
        <f>IF(L29="","",INT((L29-Config!$B$9+WEEKDAY(Config!$B$9,2)-1)/7)+1)</f>
        <v/>
      </c>
      <c r="N29" s="66">
        <f>IF(L29="","",L29-2)</f>
        <v/>
      </c>
      <c r="O29" s="65" t="n"/>
      <c r="P29" s="65" t="n"/>
      <c r="Q29" s="65" t="n"/>
    </row>
    <row r="30">
      <c r="A30" s="65" t="n"/>
      <c r="B30" s="65" t="n"/>
      <c r="C30" s="65" t="n"/>
      <c r="D30" s="65" t="n"/>
      <c r="E30" s="65" t="n"/>
      <c r="F30" s="65" t="n"/>
      <c r="G30" s="65" t="n"/>
      <c r="H30" s="65" t="n"/>
      <c r="I30" s="65" t="n"/>
      <c r="J30" s="65" t="n"/>
      <c r="K30" s="65" t="n"/>
      <c r="L30" s="66" t="n"/>
      <c r="M30" s="65">
        <f>IF(L30="","",INT((L30-Config!$B$9+WEEKDAY(Config!$B$9,2)-1)/7)+1)</f>
        <v/>
      </c>
      <c r="N30" s="66">
        <f>IF(L30="","",L30-2)</f>
        <v/>
      </c>
      <c r="O30" s="65" t="n"/>
      <c r="P30" s="65" t="n"/>
      <c r="Q30" s="65" t="n"/>
    </row>
    <row r="31">
      <c r="A31" s="65" t="n"/>
      <c r="B31" s="65" t="n"/>
      <c r="C31" s="65" t="n"/>
      <c r="D31" s="65" t="n"/>
      <c r="E31" s="65" t="n"/>
      <c r="F31" s="65" t="n"/>
      <c r="G31" s="65" t="n"/>
      <c r="H31" s="65" t="n"/>
      <c r="I31" s="65" t="n"/>
      <c r="J31" s="65" t="n"/>
      <c r="K31" s="65" t="n"/>
      <c r="L31" s="66" t="n"/>
      <c r="M31" s="65">
        <f>IF(L31="","",INT((L31-Config!$B$9+WEEKDAY(Config!$B$9,2)-1)/7)+1)</f>
        <v/>
      </c>
      <c r="N31" s="66">
        <f>IF(L31="","",L31-2)</f>
        <v/>
      </c>
      <c r="O31" s="65" t="n"/>
      <c r="P31" s="65" t="n"/>
      <c r="Q31" s="65" t="n"/>
    </row>
    <row r="32">
      <c r="A32" s="65" t="n"/>
      <c r="B32" s="65" t="n"/>
      <c r="C32" s="65" t="n"/>
      <c r="D32" s="65" t="n"/>
      <c r="E32" s="65" t="n"/>
      <c r="F32" s="65" t="n"/>
      <c r="G32" s="65" t="n"/>
      <c r="H32" s="65" t="n"/>
      <c r="I32" s="65" t="n"/>
      <c r="J32" s="65" t="n"/>
      <c r="K32" s="65" t="n"/>
      <c r="L32" s="66" t="n"/>
      <c r="M32" s="65">
        <f>IF(L32="","",INT((L32-Config!$B$9+WEEKDAY(Config!$B$9,2)-1)/7)+1)</f>
        <v/>
      </c>
      <c r="N32" s="66">
        <f>IF(L32="","",L32-2)</f>
        <v/>
      </c>
      <c r="O32" s="65" t="n"/>
      <c r="P32" s="65" t="n"/>
      <c r="Q32" s="65" t="n"/>
    </row>
    <row r="33">
      <c r="A33" s="65" t="n"/>
      <c r="B33" s="65" t="n"/>
      <c r="C33" s="65" t="n"/>
      <c r="D33" s="65" t="n"/>
      <c r="E33" s="65" t="n"/>
      <c r="F33" s="65" t="n"/>
      <c r="G33" s="65" t="n"/>
      <c r="H33" s="65" t="n"/>
      <c r="I33" s="65" t="n"/>
      <c r="J33" s="65" t="n"/>
      <c r="K33" s="65" t="n"/>
      <c r="L33" s="66" t="n"/>
      <c r="M33" s="65">
        <f>IF(L33="","",INT((L33-Config!$B$9+WEEKDAY(Config!$B$9,2)-1)/7)+1)</f>
        <v/>
      </c>
      <c r="N33" s="66">
        <f>IF(L33="","",L33-2)</f>
        <v/>
      </c>
      <c r="O33" s="65" t="n"/>
      <c r="P33" s="65" t="n"/>
      <c r="Q33" s="65" t="n"/>
    </row>
    <row r="34">
      <c r="A34" s="65" t="n"/>
      <c r="B34" s="65" t="n"/>
      <c r="C34" s="65" t="n"/>
      <c r="D34" s="65" t="n"/>
      <c r="E34" s="65" t="n"/>
      <c r="F34" s="65" t="n"/>
      <c r="G34" s="65" t="n"/>
      <c r="H34" s="65" t="n"/>
      <c r="I34" s="65" t="n"/>
      <c r="J34" s="65" t="n"/>
      <c r="K34" s="65" t="n"/>
      <c r="L34" s="66" t="n"/>
      <c r="M34" s="65">
        <f>IF(L34="","",INT((L34-Config!$B$9+WEEKDAY(Config!$B$9,2)-1)/7)+1)</f>
        <v/>
      </c>
      <c r="N34" s="66">
        <f>IF(L34="","",L34-2)</f>
        <v/>
      </c>
      <c r="O34" s="65" t="n"/>
      <c r="P34" s="65" t="n"/>
      <c r="Q34" s="65" t="n"/>
    </row>
    <row r="35">
      <c r="A35" s="65" t="n"/>
      <c r="B35" s="65" t="n"/>
      <c r="C35" s="65" t="n"/>
      <c r="D35" s="65" t="n"/>
      <c r="E35" s="65" t="n"/>
      <c r="F35" s="65" t="n"/>
      <c r="G35" s="65" t="n"/>
      <c r="H35" s="65" t="n"/>
      <c r="I35" s="65" t="n"/>
      <c r="J35" s="65" t="n"/>
      <c r="K35" s="65" t="n"/>
      <c r="L35" s="66" t="n"/>
      <c r="M35" s="65">
        <f>IF(L35="","",INT((L35-Config!$B$9+WEEKDAY(Config!$B$9,2)-1)/7)+1)</f>
        <v/>
      </c>
      <c r="N35" s="66">
        <f>IF(L35="","",L35-2)</f>
        <v/>
      </c>
      <c r="O35" s="65" t="n"/>
      <c r="P35" s="65" t="n"/>
      <c r="Q35" s="65" t="n"/>
    </row>
    <row r="36">
      <c r="A36" s="65" t="n"/>
      <c r="B36" s="65" t="n"/>
      <c r="C36" s="65" t="n"/>
      <c r="D36" s="65" t="n"/>
      <c r="E36" s="65" t="n"/>
      <c r="F36" s="65" t="n"/>
      <c r="G36" s="65" t="n"/>
      <c r="H36" s="65" t="n"/>
      <c r="I36" s="65" t="n"/>
      <c r="J36" s="65" t="n"/>
      <c r="K36" s="65" t="n"/>
      <c r="L36" s="66" t="n"/>
      <c r="M36" s="65">
        <f>IF(L36="","",INT((L36-Config!$B$9+WEEKDAY(Config!$B$9,2)-1)/7)+1)</f>
        <v/>
      </c>
      <c r="N36" s="66">
        <f>IF(L36="","",L36-2)</f>
        <v/>
      </c>
      <c r="O36" s="65" t="n"/>
      <c r="P36" s="65" t="n"/>
      <c r="Q36" s="65" t="n"/>
    </row>
    <row r="37">
      <c r="A37" s="65" t="n"/>
      <c r="B37" s="65" t="n"/>
      <c r="C37" s="65" t="n"/>
      <c r="D37" s="65" t="n"/>
      <c r="E37" s="65" t="n"/>
      <c r="F37" s="65" t="n"/>
      <c r="G37" s="65" t="n"/>
      <c r="H37" s="65" t="n"/>
      <c r="I37" s="65" t="n"/>
      <c r="J37" s="65" t="n"/>
      <c r="K37" s="65" t="n"/>
      <c r="L37" s="66" t="n"/>
      <c r="M37" s="65">
        <f>IF(L37="","",INT((L37-Config!$B$9+WEEKDAY(Config!$B$9,2)-1)/7)+1)</f>
        <v/>
      </c>
      <c r="N37" s="66">
        <f>IF(L37="","",L37-2)</f>
        <v/>
      </c>
      <c r="O37" s="65" t="n"/>
      <c r="P37" s="65" t="n"/>
      <c r="Q37" s="65" t="n"/>
    </row>
    <row r="38">
      <c r="A38" s="65" t="n"/>
      <c r="B38" s="65" t="n"/>
      <c r="C38" s="65" t="n"/>
      <c r="D38" s="65" t="n"/>
      <c r="E38" s="65" t="n"/>
      <c r="F38" s="65" t="n"/>
      <c r="G38" s="65" t="n"/>
      <c r="H38" s="65" t="n"/>
      <c r="I38" s="65" t="n"/>
      <c r="J38" s="65" t="n"/>
      <c r="K38" s="65" t="n"/>
      <c r="L38" s="66" t="n"/>
      <c r="M38" s="65">
        <f>IF(L38="","",INT((L38-Config!$B$9+WEEKDAY(Config!$B$9,2)-1)/7)+1)</f>
        <v/>
      </c>
      <c r="N38" s="66">
        <f>IF(L38="","",L38-2)</f>
        <v/>
      </c>
      <c r="O38" s="65" t="n"/>
      <c r="P38" s="65" t="n"/>
      <c r="Q38" s="65" t="n"/>
    </row>
    <row r="39">
      <c r="A39" s="65" t="n"/>
      <c r="B39" s="65" t="n"/>
      <c r="C39" s="65" t="n"/>
      <c r="D39" s="65" t="n"/>
      <c r="E39" s="65" t="n"/>
      <c r="F39" s="65" t="n"/>
      <c r="G39" s="65" t="n"/>
      <c r="H39" s="65" t="n"/>
      <c r="I39" s="65" t="n"/>
      <c r="J39" s="65" t="n"/>
      <c r="K39" s="65" t="n"/>
      <c r="L39" s="66" t="n"/>
      <c r="M39" s="65">
        <f>IF(L39="","",INT((L39-Config!$B$9+WEEKDAY(Config!$B$9,2)-1)/7)+1)</f>
        <v/>
      </c>
      <c r="N39" s="66">
        <f>IF(L39="","",L39-2)</f>
        <v/>
      </c>
      <c r="O39" s="65" t="n"/>
      <c r="P39" s="65" t="n"/>
      <c r="Q39" s="65" t="n"/>
    </row>
    <row r="40">
      <c r="A40" s="65" t="n"/>
      <c r="B40" s="65" t="n"/>
      <c r="C40" s="65" t="n"/>
      <c r="D40" s="65" t="n"/>
      <c r="E40" s="65" t="n"/>
      <c r="F40" s="65" t="n"/>
      <c r="G40" s="65" t="n"/>
      <c r="H40" s="65" t="n"/>
      <c r="I40" s="65" t="n"/>
      <c r="J40" s="65" t="n"/>
      <c r="K40" s="65" t="n"/>
      <c r="L40" s="66" t="n"/>
      <c r="M40" s="65">
        <f>IF(L40="","",INT((L40-Config!$B$9+WEEKDAY(Config!$B$9,2)-1)/7)+1)</f>
        <v/>
      </c>
      <c r="N40" s="66">
        <f>IF(L40="","",L40-2)</f>
        <v/>
      </c>
      <c r="O40" s="65" t="n"/>
      <c r="P40" s="65" t="n"/>
      <c r="Q40" s="65" t="n"/>
    </row>
    <row r="41">
      <c r="A41" s="65" t="n"/>
      <c r="B41" s="65" t="n"/>
      <c r="C41" s="65" t="n"/>
      <c r="D41" s="65" t="n"/>
      <c r="E41" s="65" t="n"/>
      <c r="F41" s="65" t="n"/>
      <c r="G41" s="65" t="n"/>
      <c r="H41" s="65" t="n"/>
      <c r="I41" s="65" t="n"/>
      <c r="J41" s="65" t="n"/>
      <c r="K41" s="65" t="n"/>
      <c r="L41" s="66" t="n"/>
      <c r="M41" s="65">
        <f>IF(L41="","",INT((L41-Config!$B$9+WEEKDAY(Config!$B$9,2)-1)/7)+1)</f>
        <v/>
      </c>
      <c r="N41" s="66">
        <f>IF(L41="","",L41-2)</f>
        <v/>
      </c>
      <c r="O41" s="65" t="n"/>
      <c r="P41" s="65" t="n"/>
      <c r="Q41" s="65" t="n"/>
    </row>
    <row r="42">
      <c r="A42" s="65" t="n"/>
      <c r="B42" s="65" t="n"/>
      <c r="C42" s="65" t="n"/>
      <c r="D42" s="65" t="n"/>
      <c r="E42" s="65" t="n"/>
      <c r="F42" s="65" t="n"/>
      <c r="G42" s="65" t="n"/>
      <c r="H42" s="65" t="n"/>
      <c r="I42" s="65" t="n"/>
      <c r="J42" s="65" t="n"/>
      <c r="K42" s="65" t="n"/>
      <c r="L42" s="66" t="n"/>
      <c r="M42" s="65">
        <f>IF(L42="","",INT((L42-Config!$B$9+WEEKDAY(Config!$B$9,2)-1)/7)+1)</f>
        <v/>
      </c>
      <c r="N42" s="66">
        <f>IF(L42="","",L42-2)</f>
        <v/>
      </c>
      <c r="O42" s="65" t="n"/>
      <c r="P42" s="65" t="n"/>
      <c r="Q42" s="65" t="n"/>
    </row>
    <row r="43">
      <c r="A43" s="65" t="n"/>
      <c r="B43" s="65" t="n"/>
      <c r="C43" s="65" t="n"/>
      <c r="D43" s="65" t="n"/>
      <c r="E43" s="65" t="n"/>
      <c r="F43" s="65" t="n"/>
      <c r="G43" s="65" t="n"/>
      <c r="H43" s="65" t="n"/>
      <c r="I43" s="65" t="n"/>
      <c r="J43" s="65" t="n"/>
      <c r="K43" s="65" t="n"/>
      <c r="L43" s="66" t="n"/>
      <c r="M43" s="65">
        <f>IF(L43="","",INT((L43-Config!$B$9+WEEKDAY(Config!$B$9,2)-1)/7)+1)</f>
        <v/>
      </c>
      <c r="N43" s="66">
        <f>IF(L43="","",L43-2)</f>
        <v/>
      </c>
      <c r="O43" s="65" t="n"/>
      <c r="P43" s="65" t="n"/>
      <c r="Q43" s="65" t="n"/>
    </row>
    <row r="44">
      <c r="A44" s="65" t="n"/>
      <c r="B44" s="65" t="n"/>
      <c r="C44" s="65" t="n"/>
      <c r="D44" s="65" t="n"/>
      <c r="E44" s="65" t="n"/>
      <c r="F44" s="65" t="n"/>
      <c r="G44" s="65" t="n"/>
      <c r="H44" s="65" t="n"/>
      <c r="I44" s="65" t="n"/>
      <c r="J44" s="65" t="n"/>
      <c r="K44" s="65" t="n"/>
      <c r="L44" s="66" t="n"/>
      <c r="M44" s="65">
        <f>IF(L44="","",INT((L44-Config!$B$9+WEEKDAY(Config!$B$9,2)-1)/7)+1)</f>
        <v/>
      </c>
      <c r="N44" s="66">
        <f>IF(L44="","",L44-2)</f>
        <v/>
      </c>
      <c r="O44" s="65" t="n"/>
      <c r="P44" s="65" t="n"/>
      <c r="Q44" s="65" t="n"/>
    </row>
    <row r="45">
      <c r="A45" s="65" t="n"/>
      <c r="B45" s="65" t="n"/>
      <c r="C45" s="65" t="n"/>
      <c r="D45" s="65" t="n"/>
      <c r="E45" s="65" t="n"/>
      <c r="F45" s="65" t="n"/>
      <c r="G45" s="65" t="n"/>
      <c r="H45" s="65" t="n"/>
      <c r="I45" s="65" t="n"/>
      <c r="J45" s="65" t="n"/>
      <c r="K45" s="65" t="n"/>
      <c r="L45" s="66" t="n"/>
      <c r="M45" s="65">
        <f>IF(L45="","",INT((L45-Config!$B$9+WEEKDAY(Config!$B$9,2)-1)/7)+1)</f>
        <v/>
      </c>
      <c r="N45" s="66">
        <f>IF(L45="","",L45-2)</f>
        <v/>
      </c>
      <c r="O45" s="65" t="n"/>
      <c r="P45" s="65" t="n"/>
      <c r="Q45" s="65" t="n"/>
    </row>
    <row r="46">
      <c r="A46" s="65" t="n"/>
      <c r="B46" s="65" t="n"/>
      <c r="C46" s="65" t="n"/>
      <c r="D46" s="65" t="n"/>
      <c r="E46" s="65" t="n"/>
      <c r="F46" s="65" t="n"/>
      <c r="G46" s="65" t="n"/>
      <c r="H46" s="65" t="n"/>
      <c r="I46" s="65" t="n"/>
      <c r="J46" s="65" t="n"/>
      <c r="K46" s="65" t="n"/>
      <c r="L46" s="66" t="n"/>
      <c r="M46" s="65">
        <f>IF(L46="","",INT((L46-Config!$B$9+WEEKDAY(Config!$B$9,2)-1)/7)+1)</f>
        <v/>
      </c>
      <c r="N46" s="66">
        <f>IF(L46="","",L46-2)</f>
        <v/>
      </c>
      <c r="O46" s="65" t="n"/>
      <c r="P46" s="65" t="n"/>
      <c r="Q46" s="65" t="n"/>
    </row>
    <row r="47">
      <c r="A47" s="65" t="n"/>
      <c r="B47" s="65" t="n"/>
      <c r="C47" s="65" t="n"/>
      <c r="D47" s="65" t="n"/>
      <c r="E47" s="65" t="n"/>
      <c r="F47" s="65" t="n"/>
      <c r="G47" s="65" t="n"/>
      <c r="H47" s="65" t="n"/>
      <c r="I47" s="65" t="n"/>
      <c r="J47" s="65" t="n"/>
      <c r="K47" s="65" t="n"/>
      <c r="L47" s="66" t="n"/>
      <c r="M47" s="65">
        <f>IF(L47="","",INT((L47-Config!$B$9+WEEKDAY(Config!$B$9,2)-1)/7)+1)</f>
        <v/>
      </c>
      <c r="N47" s="66">
        <f>IF(L47="","",L47-2)</f>
        <v/>
      </c>
      <c r="O47" s="65" t="n"/>
      <c r="P47" s="65" t="n"/>
      <c r="Q47" s="65" t="n"/>
    </row>
    <row r="48">
      <c r="A48" s="65" t="n"/>
      <c r="B48" s="65" t="n"/>
      <c r="C48" s="65" t="n"/>
      <c r="D48" s="65" t="n"/>
      <c r="E48" s="65" t="n"/>
      <c r="F48" s="65" t="n"/>
      <c r="G48" s="65" t="n"/>
      <c r="H48" s="65" t="n"/>
      <c r="I48" s="65" t="n"/>
      <c r="J48" s="65" t="n"/>
      <c r="K48" s="65" t="n"/>
      <c r="L48" s="66" t="n"/>
      <c r="M48" s="65">
        <f>IF(L48="","",INT((L48-Config!$B$9+WEEKDAY(Config!$B$9,2)-1)/7)+1)</f>
        <v/>
      </c>
      <c r="N48" s="66">
        <f>IF(L48="","",L48-2)</f>
        <v/>
      </c>
      <c r="O48" s="65" t="n"/>
      <c r="P48" s="65" t="n"/>
      <c r="Q48" s="65" t="n"/>
    </row>
    <row r="49">
      <c r="A49" s="65" t="n"/>
      <c r="B49" s="65" t="n"/>
      <c r="C49" s="65" t="n"/>
      <c r="D49" s="65" t="n"/>
      <c r="E49" s="65" t="n"/>
      <c r="F49" s="65" t="n"/>
      <c r="G49" s="65" t="n"/>
      <c r="H49" s="65" t="n"/>
      <c r="I49" s="65" t="n"/>
      <c r="J49" s="65" t="n"/>
      <c r="K49" s="65" t="n"/>
      <c r="L49" s="66" t="n"/>
      <c r="M49" s="65">
        <f>IF(L49="","",INT((L49-Config!$B$9+WEEKDAY(Config!$B$9,2)-1)/7)+1)</f>
        <v/>
      </c>
      <c r="N49" s="66">
        <f>IF(L49="","",L49-2)</f>
        <v/>
      </c>
      <c r="O49" s="65" t="n"/>
      <c r="P49" s="65" t="n"/>
      <c r="Q49" s="65" t="n"/>
    </row>
    <row r="50">
      <c r="A50" s="65" t="n"/>
      <c r="B50" s="65" t="n"/>
      <c r="C50" s="65" t="n"/>
      <c r="D50" s="65" t="n"/>
      <c r="E50" s="65" t="n"/>
      <c r="F50" s="65" t="n"/>
      <c r="G50" s="65" t="n"/>
      <c r="H50" s="65" t="n"/>
      <c r="I50" s="65" t="n"/>
      <c r="J50" s="65" t="n"/>
      <c r="K50" s="65" t="n"/>
      <c r="L50" s="66" t="n"/>
      <c r="M50" s="65">
        <f>IF(L50="","",INT((L50-Config!$B$9+WEEKDAY(Config!$B$9,2)-1)/7)+1)</f>
        <v/>
      </c>
      <c r="N50" s="66">
        <f>IF(L50="","",L50-2)</f>
        <v/>
      </c>
      <c r="O50" s="65" t="n"/>
      <c r="P50" s="65" t="n"/>
      <c r="Q50" s="65" t="n"/>
    </row>
    <row r="51">
      <c r="A51" s="65" t="n"/>
      <c r="B51" s="65" t="n"/>
      <c r="C51" s="65" t="n"/>
      <c r="D51" s="65" t="n"/>
      <c r="E51" s="65" t="n"/>
      <c r="F51" s="65" t="n"/>
      <c r="G51" s="65" t="n"/>
      <c r="H51" s="65" t="n"/>
      <c r="I51" s="65" t="n"/>
      <c r="J51" s="65" t="n"/>
      <c r="K51" s="65" t="n"/>
      <c r="L51" s="66" t="n"/>
      <c r="M51" s="65">
        <f>IF(L51="","",INT((L51-Config!$B$9+WEEKDAY(Config!$B$9,2)-1)/7)+1)</f>
        <v/>
      </c>
      <c r="N51" s="66">
        <f>IF(L51="","",L51-2)</f>
        <v/>
      </c>
      <c r="O51" s="65" t="n"/>
      <c r="P51" s="65" t="n"/>
      <c r="Q51" s="65" t="n"/>
    </row>
    <row r="52">
      <c r="A52" s="65" t="n"/>
      <c r="B52" s="65" t="n"/>
      <c r="C52" s="65" t="n"/>
      <c r="D52" s="65" t="n"/>
      <c r="E52" s="65" t="n"/>
      <c r="F52" s="65" t="n"/>
      <c r="G52" s="65" t="n"/>
      <c r="H52" s="65" t="n"/>
      <c r="I52" s="65" t="n"/>
      <c r="J52" s="65" t="n"/>
      <c r="K52" s="65" t="n"/>
      <c r="L52" s="66" t="n"/>
      <c r="M52" s="65">
        <f>IF(L52="","",INT((L52-Config!$B$9+WEEKDAY(Config!$B$9,2)-1)/7)+1)</f>
        <v/>
      </c>
      <c r="N52" s="66">
        <f>IF(L52="","",L52-2)</f>
        <v/>
      </c>
      <c r="O52" s="65" t="n"/>
      <c r="P52" s="65" t="n"/>
      <c r="Q52" s="65" t="n"/>
    </row>
    <row r="53">
      <c r="A53" s="65" t="n"/>
      <c r="B53" s="65" t="n"/>
      <c r="C53" s="65" t="n"/>
      <c r="D53" s="65" t="n"/>
      <c r="E53" s="65" t="n"/>
      <c r="F53" s="65" t="n"/>
      <c r="G53" s="65" t="n"/>
      <c r="H53" s="65" t="n"/>
      <c r="I53" s="65" t="n"/>
      <c r="J53" s="65" t="n"/>
      <c r="K53" s="65" t="n"/>
      <c r="L53" s="66" t="n"/>
      <c r="M53" s="65">
        <f>IF(L53="","",INT((L53-Config!$B$9+WEEKDAY(Config!$B$9,2)-1)/7)+1)</f>
        <v/>
      </c>
      <c r="N53" s="66">
        <f>IF(L53="","",L53-2)</f>
        <v/>
      </c>
      <c r="O53" s="65" t="n"/>
      <c r="P53" s="65" t="n"/>
      <c r="Q53" s="65" t="n"/>
    </row>
    <row r="54">
      <c r="A54" s="65" t="n"/>
      <c r="B54" s="65" t="n"/>
      <c r="C54" s="65" t="n"/>
      <c r="D54" s="65" t="n"/>
      <c r="E54" s="65" t="n"/>
      <c r="F54" s="65" t="n"/>
      <c r="G54" s="65" t="n"/>
      <c r="H54" s="65" t="n"/>
      <c r="I54" s="65" t="n"/>
      <c r="J54" s="65" t="n"/>
      <c r="K54" s="65" t="n"/>
      <c r="L54" s="66" t="n"/>
      <c r="M54" s="65">
        <f>IF(L54="","",INT((L54-Config!$B$9+WEEKDAY(Config!$B$9,2)-1)/7)+1)</f>
        <v/>
      </c>
      <c r="N54" s="66">
        <f>IF(L54="","",L54-2)</f>
        <v/>
      </c>
      <c r="O54" s="65" t="n"/>
      <c r="P54" s="65" t="n"/>
      <c r="Q54" s="65" t="n"/>
    </row>
    <row r="55">
      <c r="A55" s="65" t="n"/>
      <c r="B55" s="65" t="n"/>
      <c r="C55" s="65" t="n"/>
      <c r="D55" s="65" t="n"/>
      <c r="E55" s="65" t="n"/>
      <c r="F55" s="65" t="n"/>
      <c r="G55" s="65" t="n"/>
      <c r="H55" s="65" t="n"/>
      <c r="I55" s="65" t="n"/>
      <c r="J55" s="65" t="n"/>
      <c r="K55" s="65" t="n"/>
      <c r="L55" s="66" t="n"/>
      <c r="M55" s="65">
        <f>IF(L55="","",INT((L55-Config!$B$9+WEEKDAY(Config!$B$9,2)-1)/7)+1)</f>
        <v/>
      </c>
      <c r="N55" s="66">
        <f>IF(L55="","",L55-2)</f>
        <v/>
      </c>
      <c r="O55" s="65" t="n"/>
      <c r="P55" s="65" t="n"/>
      <c r="Q55" s="65" t="n"/>
    </row>
    <row r="56">
      <c r="A56" s="65" t="n"/>
      <c r="B56" s="65" t="n"/>
      <c r="C56" s="65" t="n"/>
      <c r="D56" s="65" t="n"/>
      <c r="E56" s="65" t="n"/>
      <c r="F56" s="65" t="n"/>
      <c r="G56" s="65" t="n"/>
      <c r="H56" s="65" t="n"/>
      <c r="I56" s="65" t="n"/>
      <c r="J56" s="65" t="n"/>
      <c r="K56" s="65" t="n"/>
      <c r="L56" s="66" t="n"/>
      <c r="M56" s="65">
        <f>IF(L56="","",INT((L56-Config!$B$9+WEEKDAY(Config!$B$9,2)-1)/7)+1)</f>
        <v/>
      </c>
      <c r="N56" s="66">
        <f>IF(L56="","",L56-2)</f>
        <v/>
      </c>
      <c r="O56" s="65" t="n"/>
      <c r="P56" s="65" t="n"/>
      <c r="Q56" s="65" t="n"/>
    </row>
    <row r="57">
      <c r="A57" s="65" t="n"/>
      <c r="B57" s="65" t="n"/>
      <c r="C57" s="65" t="n"/>
      <c r="D57" s="65" t="n"/>
      <c r="E57" s="65" t="n"/>
      <c r="F57" s="65" t="n"/>
      <c r="G57" s="65" t="n"/>
      <c r="H57" s="65" t="n"/>
      <c r="I57" s="65" t="n"/>
      <c r="J57" s="65" t="n"/>
      <c r="K57" s="65" t="n"/>
      <c r="L57" s="66" t="n"/>
      <c r="M57" s="65">
        <f>IF(L57="","",INT((L57-Config!$B$9+WEEKDAY(Config!$B$9,2)-1)/7)+1)</f>
        <v/>
      </c>
      <c r="N57" s="66">
        <f>IF(L57="","",L57-2)</f>
        <v/>
      </c>
      <c r="O57" s="65" t="n"/>
      <c r="P57" s="65" t="n"/>
      <c r="Q57" s="65" t="n"/>
    </row>
    <row r="58">
      <c r="A58" s="65" t="n"/>
      <c r="B58" s="65" t="n"/>
      <c r="C58" s="65" t="n"/>
      <c r="D58" s="65" t="n"/>
      <c r="E58" s="65" t="n"/>
      <c r="F58" s="65" t="n"/>
      <c r="G58" s="65" t="n"/>
      <c r="H58" s="65" t="n"/>
      <c r="I58" s="65" t="n"/>
      <c r="J58" s="65" t="n"/>
      <c r="K58" s="65" t="n"/>
      <c r="L58" s="66" t="n"/>
      <c r="M58" s="65">
        <f>IF(L58="","",INT((L58-Config!$B$9+WEEKDAY(Config!$B$9,2)-1)/7)+1)</f>
        <v/>
      </c>
      <c r="N58" s="66">
        <f>IF(L58="","",L58-2)</f>
        <v/>
      </c>
      <c r="O58" s="65" t="n"/>
      <c r="P58" s="65" t="n"/>
      <c r="Q58" s="65" t="n"/>
    </row>
    <row r="59">
      <c r="A59" s="65" t="n"/>
      <c r="B59" s="65" t="n"/>
      <c r="C59" s="65" t="n"/>
      <c r="D59" s="65" t="n"/>
      <c r="E59" s="65" t="n"/>
      <c r="F59" s="65" t="n"/>
      <c r="G59" s="65" t="n"/>
      <c r="H59" s="65" t="n"/>
      <c r="I59" s="65" t="n"/>
      <c r="J59" s="65" t="n"/>
      <c r="K59" s="65" t="n"/>
      <c r="L59" s="66" t="n"/>
      <c r="M59" s="65">
        <f>IF(L59="","",INT((L59-Config!$B$9+WEEKDAY(Config!$B$9,2)-1)/7)+1)</f>
        <v/>
      </c>
      <c r="N59" s="66">
        <f>IF(L59="","",L59-2)</f>
        <v/>
      </c>
      <c r="O59" s="65" t="n"/>
      <c r="P59" s="65" t="n"/>
      <c r="Q59" s="65" t="n"/>
    </row>
    <row r="60">
      <c r="A60" s="65" t="n"/>
      <c r="B60" s="65" t="n"/>
      <c r="C60" s="65" t="n"/>
      <c r="D60" s="65" t="n"/>
      <c r="E60" s="65" t="n"/>
      <c r="F60" s="65" t="n"/>
      <c r="G60" s="65" t="n"/>
      <c r="H60" s="65" t="n"/>
      <c r="I60" s="65" t="n"/>
      <c r="J60" s="65" t="n"/>
      <c r="K60" s="65" t="n"/>
      <c r="L60" s="66" t="n"/>
      <c r="M60" s="65">
        <f>IF(L60="","",INT((L60-Config!$B$9+WEEKDAY(Config!$B$9,2)-1)/7)+1)</f>
        <v/>
      </c>
      <c r="N60" s="66">
        <f>IF(L60="","",L60-2)</f>
        <v/>
      </c>
      <c r="O60" s="65" t="n"/>
      <c r="P60" s="65" t="n"/>
      <c r="Q60" s="65" t="n"/>
    </row>
    <row r="61">
      <c r="A61" s="65" t="n"/>
      <c r="B61" s="65" t="n"/>
      <c r="C61" s="65" t="n"/>
      <c r="D61" s="65" t="n"/>
      <c r="E61" s="65" t="n"/>
      <c r="F61" s="65" t="n"/>
      <c r="G61" s="65" t="n"/>
      <c r="H61" s="65" t="n"/>
      <c r="I61" s="65" t="n"/>
      <c r="J61" s="65" t="n"/>
      <c r="K61" s="65" t="n"/>
      <c r="L61" s="66" t="n"/>
      <c r="M61" s="65">
        <f>IF(L61="","",INT((L61-Config!$B$9+WEEKDAY(Config!$B$9,2)-1)/7)+1)</f>
        <v/>
      </c>
      <c r="N61" s="66">
        <f>IF(L61="","",L61-2)</f>
        <v/>
      </c>
      <c r="O61" s="65" t="n"/>
      <c r="P61" s="65" t="n"/>
      <c r="Q61" s="65" t="n"/>
    </row>
    <row r="62">
      <c r="A62" s="65" t="n"/>
      <c r="B62" s="65" t="n"/>
      <c r="C62" s="65" t="n"/>
      <c r="D62" s="65" t="n"/>
      <c r="E62" s="65" t="n"/>
      <c r="F62" s="65" t="n"/>
      <c r="G62" s="65" t="n"/>
      <c r="H62" s="65" t="n"/>
      <c r="I62" s="65" t="n"/>
      <c r="J62" s="65" t="n"/>
      <c r="K62" s="65" t="n"/>
      <c r="L62" s="66" t="n"/>
      <c r="M62" s="65">
        <f>IF(L62="","",INT((L62-Config!$B$9+WEEKDAY(Config!$B$9,2)-1)/7)+1)</f>
        <v/>
      </c>
      <c r="N62" s="66">
        <f>IF(L62="","",L62-2)</f>
        <v/>
      </c>
      <c r="O62" s="65" t="n"/>
      <c r="P62" s="65" t="n"/>
      <c r="Q62" s="65" t="n"/>
    </row>
    <row r="63">
      <c r="A63" s="65" t="n"/>
      <c r="B63" s="65" t="n"/>
      <c r="C63" s="65" t="n"/>
      <c r="D63" s="65" t="n"/>
      <c r="E63" s="65" t="n"/>
      <c r="F63" s="65" t="n"/>
      <c r="G63" s="65" t="n"/>
      <c r="H63" s="65" t="n"/>
      <c r="I63" s="65" t="n"/>
      <c r="J63" s="65" t="n"/>
      <c r="K63" s="65" t="n"/>
      <c r="L63" s="66" t="n"/>
      <c r="M63" s="65">
        <f>IF(L63="","",INT((L63-Config!$B$9+WEEKDAY(Config!$B$9,2)-1)/7)+1)</f>
        <v/>
      </c>
      <c r="N63" s="66">
        <f>IF(L63="","",L63-2)</f>
        <v/>
      </c>
      <c r="O63" s="65" t="n"/>
      <c r="P63" s="65" t="n"/>
      <c r="Q63" s="65" t="n"/>
    </row>
    <row r="64">
      <c r="A64" s="65" t="n"/>
      <c r="B64" s="65" t="n"/>
      <c r="C64" s="65" t="n"/>
      <c r="D64" s="65" t="n"/>
      <c r="E64" s="65" t="n"/>
      <c r="F64" s="65" t="n"/>
      <c r="G64" s="65" t="n"/>
      <c r="H64" s="65" t="n"/>
      <c r="I64" s="65" t="n"/>
      <c r="J64" s="65" t="n"/>
      <c r="K64" s="65" t="n"/>
      <c r="L64" s="66" t="n"/>
      <c r="M64" s="65">
        <f>IF(L64="","",INT((L64-Config!$B$9+WEEKDAY(Config!$B$9,2)-1)/7)+1)</f>
        <v/>
      </c>
      <c r="N64" s="66">
        <f>IF(L64="","",L64-2)</f>
        <v/>
      </c>
      <c r="O64" s="65" t="n"/>
      <c r="P64" s="65" t="n"/>
      <c r="Q64" s="65" t="n"/>
    </row>
    <row r="65">
      <c r="A65" s="65" t="n"/>
      <c r="B65" s="65" t="n"/>
      <c r="C65" s="65" t="n"/>
      <c r="D65" s="65" t="n"/>
      <c r="E65" s="65" t="n"/>
      <c r="F65" s="65" t="n"/>
      <c r="G65" s="65" t="n"/>
      <c r="H65" s="65" t="n"/>
      <c r="I65" s="65" t="n"/>
      <c r="J65" s="65" t="n"/>
      <c r="K65" s="65" t="n"/>
      <c r="L65" s="66" t="n"/>
      <c r="M65" s="65">
        <f>IF(L65="","",INT((L65-Config!$B$9+WEEKDAY(Config!$B$9,2)-1)/7)+1)</f>
        <v/>
      </c>
      <c r="N65" s="66">
        <f>IF(L65="","",L65-2)</f>
        <v/>
      </c>
      <c r="O65" s="65" t="n"/>
      <c r="P65" s="65" t="n"/>
      <c r="Q65" s="65" t="n"/>
    </row>
    <row r="66">
      <c r="A66" s="65" t="n"/>
      <c r="B66" s="65" t="n"/>
      <c r="C66" s="65" t="n"/>
      <c r="D66" s="65" t="n"/>
      <c r="E66" s="65" t="n"/>
      <c r="F66" s="65" t="n"/>
      <c r="G66" s="65" t="n"/>
      <c r="H66" s="65" t="n"/>
      <c r="I66" s="65" t="n"/>
      <c r="J66" s="65" t="n"/>
      <c r="K66" s="65" t="n"/>
      <c r="L66" s="66" t="n"/>
      <c r="M66" s="65">
        <f>IF(L66="","",INT((L66-Config!$B$9+WEEKDAY(Config!$B$9,2)-1)/7)+1)</f>
        <v/>
      </c>
      <c r="N66" s="66">
        <f>IF(L66="","",L66-2)</f>
        <v/>
      </c>
      <c r="O66" s="65" t="n"/>
      <c r="P66" s="65" t="n"/>
      <c r="Q66" s="65" t="n"/>
    </row>
    <row r="67">
      <c r="A67" s="65" t="n"/>
      <c r="B67" s="65" t="n"/>
      <c r="C67" s="65" t="n"/>
      <c r="D67" s="65" t="n"/>
      <c r="E67" s="65" t="n"/>
      <c r="F67" s="65" t="n"/>
      <c r="G67" s="65" t="n"/>
      <c r="H67" s="65" t="n"/>
      <c r="I67" s="65" t="n"/>
      <c r="J67" s="65" t="n"/>
      <c r="K67" s="65" t="n"/>
      <c r="L67" s="66" t="n"/>
      <c r="M67" s="65">
        <f>IF(L67="","",INT((L67-Config!$B$9+WEEKDAY(Config!$B$9,2)-1)/7)+1)</f>
        <v/>
      </c>
      <c r="N67" s="66">
        <f>IF(L67="","",L67-2)</f>
        <v/>
      </c>
      <c r="O67" s="65" t="n"/>
      <c r="P67" s="65" t="n"/>
      <c r="Q67" s="65" t="n"/>
    </row>
    <row r="68">
      <c r="A68" s="65" t="n"/>
      <c r="B68" s="65" t="n"/>
      <c r="C68" s="65" t="n"/>
      <c r="D68" s="65" t="n"/>
      <c r="E68" s="65" t="n"/>
      <c r="F68" s="65" t="n"/>
      <c r="G68" s="65" t="n"/>
      <c r="H68" s="65" t="n"/>
      <c r="I68" s="65" t="n"/>
      <c r="J68" s="65" t="n"/>
      <c r="K68" s="65" t="n"/>
      <c r="L68" s="66" t="n"/>
      <c r="M68" s="65">
        <f>IF(L68="","",INT((L68-Config!$B$9+WEEKDAY(Config!$B$9,2)-1)/7)+1)</f>
        <v/>
      </c>
      <c r="N68" s="66">
        <f>IF(L68="","",L68-2)</f>
        <v/>
      </c>
      <c r="O68" s="65" t="n"/>
      <c r="P68" s="65" t="n"/>
      <c r="Q68" s="65" t="n"/>
    </row>
    <row r="69">
      <c r="A69" s="65" t="n"/>
      <c r="B69" s="65" t="n"/>
      <c r="C69" s="65" t="n"/>
      <c r="D69" s="65" t="n"/>
      <c r="E69" s="65" t="n"/>
      <c r="F69" s="65" t="n"/>
      <c r="G69" s="65" t="n"/>
      <c r="H69" s="65" t="n"/>
      <c r="I69" s="65" t="n"/>
      <c r="J69" s="65" t="n"/>
      <c r="K69" s="65" t="n"/>
      <c r="L69" s="66" t="n"/>
      <c r="M69" s="65">
        <f>IF(L69="","",INT((L69-Config!$B$9+WEEKDAY(Config!$B$9,2)-1)/7)+1)</f>
        <v/>
      </c>
      <c r="N69" s="66">
        <f>IF(L69="","",L69-2)</f>
        <v/>
      </c>
      <c r="O69" s="65" t="n"/>
      <c r="P69" s="65" t="n"/>
      <c r="Q69" s="65" t="n"/>
    </row>
    <row r="70">
      <c r="A70" s="65" t="n"/>
      <c r="B70" s="65" t="n"/>
      <c r="C70" s="65" t="n"/>
      <c r="D70" s="65" t="n"/>
      <c r="E70" s="65" t="n"/>
      <c r="F70" s="65" t="n"/>
      <c r="G70" s="65" t="n"/>
      <c r="H70" s="65" t="n"/>
      <c r="I70" s="65" t="n"/>
      <c r="J70" s="65" t="n"/>
      <c r="K70" s="65" t="n"/>
      <c r="L70" s="66" t="n"/>
      <c r="M70" s="65">
        <f>IF(L70="","",INT((L70-Config!$B$9+WEEKDAY(Config!$B$9,2)-1)/7)+1)</f>
        <v/>
      </c>
      <c r="N70" s="66">
        <f>IF(L70="","",L70-2)</f>
        <v/>
      </c>
      <c r="O70" s="65" t="n"/>
      <c r="P70" s="65" t="n"/>
      <c r="Q70" s="65" t="n"/>
    </row>
    <row r="71">
      <c r="A71" s="65" t="n"/>
      <c r="B71" s="65" t="n"/>
      <c r="C71" s="65" t="n"/>
      <c r="D71" s="65" t="n"/>
      <c r="E71" s="65" t="n"/>
      <c r="F71" s="65" t="n"/>
      <c r="G71" s="65" t="n"/>
      <c r="H71" s="65" t="n"/>
      <c r="I71" s="65" t="n"/>
      <c r="J71" s="65" t="n"/>
      <c r="K71" s="65" t="n"/>
      <c r="L71" s="66" t="n"/>
      <c r="M71" s="65">
        <f>IF(L71="","",INT((L71-Config!$B$9+WEEKDAY(Config!$B$9,2)-1)/7)+1)</f>
        <v/>
      </c>
      <c r="N71" s="66">
        <f>IF(L71="","",L71-2)</f>
        <v/>
      </c>
      <c r="O71" s="65" t="n"/>
      <c r="P71" s="65" t="n"/>
      <c r="Q71" s="65" t="n"/>
    </row>
    <row r="72">
      <c r="A72" s="65" t="n"/>
      <c r="B72" s="65" t="n"/>
      <c r="C72" s="65" t="n"/>
      <c r="D72" s="65" t="n"/>
      <c r="E72" s="65" t="n"/>
      <c r="F72" s="65" t="n"/>
      <c r="G72" s="65" t="n"/>
      <c r="H72" s="65" t="n"/>
      <c r="I72" s="65" t="n"/>
      <c r="J72" s="65" t="n"/>
      <c r="K72" s="65" t="n"/>
      <c r="L72" s="66" t="n"/>
      <c r="M72" s="65">
        <f>IF(L72="","",INT((L72-Config!$B$9+WEEKDAY(Config!$B$9,2)-1)/7)+1)</f>
        <v/>
      </c>
      <c r="N72" s="66">
        <f>IF(L72="","",L72-2)</f>
        <v/>
      </c>
      <c r="O72" s="65" t="n"/>
      <c r="P72" s="65" t="n"/>
      <c r="Q72" s="65" t="n"/>
    </row>
    <row r="73">
      <c r="A73" s="65" t="n"/>
      <c r="B73" s="65" t="n"/>
      <c r="C73" s="65" t="n"/>
      <c r="D73" s="65" t="n"/>
      <c r="E73" s="65" t="n"/>
      <c r="F73" s="65" t="n"/>
      <c r="G73" s="65" t="n"/>
      <c r="H73" s="65" t="n"/>
      <c r="I73" s="65" t="n"/>
      <c r="J73" s="65" t="n"/>
      <c r="K73" s="65" t="n"/>
      <c r="L73" s="66" t="n"/>
      <c r="M73" s="65">
        <f>IF(L73="","",INT((L73-Config!$B$9+WEEKDAY(Config!$B$9,2)-1)/7)+1)</f>
        <v/>
      </c>
      <c r="N73" s="66">
        <f>IF(L73="","",L73-2)</f>
        <v/>
      </c>
      <c r="O73" s="65" t="n"/>
      <c r="P73" s="65" t="n"/>
      <c r="Q73" s="65" t="n"/>
    </row>
    <row r="74">
      <c r="A74" s="65" t="n"/>
      <c r="B74" s="65" t="n"/>
      <c r="C74" s="65" t="n"/>
      <c r="D74" s="65" t="n"/>
      <c r="E74" s="65" t="n"/>
      <c r="F74" s="65" t="n"/>
      <c r="G74" s="65" t="n"/>
      <c r="H74" s="65" t="n"/>
      <c r="I74" s="65" t="n"/>
      <c r="J74" s="65" t="n"/>
      <c r="K74" s="65" t="n"/>
      <c r="L74" s="66" t="n"/>
      <c r="M74" s="65">
        <f>IF(L74="","",INT((L74-Config!$B$9+WEEKDAY(Config!$B$9,2)-1)/7)+1)</f>
        <v/>
      </c>
      <c r="N74" s="66">
        <f>IF(L74="","",L74-2)</f>
        <v/>
      </c>
      <c r="O74" s="65" t="n"/>
      <c r="P74" s="65" t="n"/>
      <c r="Q74" s="65" t="n"/>
    </row>
    <row r="75">
      <c r="A75" s="65" t="n"/>
      <c r="B75" s="65" t="n"/>
      <c r="C75" s="65" t="n"/>
      <c r="D75" s="65" t="n"/>
      <c r="E75" s="65" t="n"/>
      <c r="F75" s="65" t="n"/>
      <c r="G75" s="65" t="n"/>
      <c r="H75" s="65" t="n"/>
      <c r="I75" s="65" t="n"/>
      <c r="J75" s="65" t="n"/>
      <c r="K75" s="65" t="n"/>
      <c r="L75" s="66" t="n"/>
      <c r="M75" s="65">
        <f>IF(L75="","",INT((L75-Config!$B$9+WEEKDAY(Config!$B$9,2)-1)/7)+1)</f>
        <v/>
      </c>
      <c r="N75" s="66">
        <f>IF(L75="","",L75-2)</f>
        <v/>
      </c>
      <c r="O75" s="65" t="n"/>
      <c r="P75" s="65" t="n"/>
      <c r="Q75" s="65" t="n"/>
    </row>
    <row r="76">
      <c r="A76" s="65" t="n"/>
      <c r="B76" s="65" t="n"/>
      <c r="C76" s="65" t="n"/>
      <c r="D76" s="65" t="n"/>
      <c r="E76" s="65" t="n"/>
      <c r="F76" s="65" t="n"/>
      <c r="G76" s="65" t="n"/>
      <c r="H76" s="65" t="n"/>
      <c r="I76" s="65" t="n"/>
      <c r="J76" s="65" t="n"/>
      <c r="K76" s="65" t="n"/>
      <c r="L76" s="66" t="n"/>
      <c r="M76" s="65">
        <f>IF(L76="","",INT((L76-Config!$B$9+WEEKDAY(Config!$B$9,2)-1)/7)+1)</f>
        <v/>
      </c>
      <c r="N76" s="66">
        <f>IF(L76="","",L76-2)</f>
        <v/>
      </c>
      <c r="O76" s="65" t="n"/>
      <c r="P76" s="65" t="n"/>
      <c r="Q76" s="65" t="n"/>
    </row>
    <row r="77">
      <c r="A77" s="65" t="n"/>
      <c r="B77" s="65" t="n"/>
      <c r="C77" s="65" t="n"/>
      <c r="D77" s="65" t="n"/>
      <c r="E77" s="65" t="n"/>
      <c r="F77" s="65" t="n"/>
      <c r="G77" s="65" t="n"/>
      <c r="H77" s="65" t="n"/>
      <c r="I77" s="65" t="n"/>
      <c r="J77" s="65" t="n"/>
      <c r="K77" s="65" t="n"/>
      <c r="L77" s="66" t="n"/>
      <c r="M77" s="65">
        <f>IF(L77="","",INT((L77-Config!$B$9+WEEKDAY(Config!$B$9,2)-1)/7)+1)</f>
        <v/>
      </c>
      <c r="N77" s="66">
        <f>IF(L77="","",L77-2)</f>
        <v/>
      </c>
      <c r="O77" s="65" t="n"/>
      <c r="P77" s="65" t="n"/>
      <c r="Q77" s="65" t="n"/>
    </row>
    <row r="78">
      <c r="A78" s="65" t="n"/>
      <c r="B78" s="65" t="n"/>
      <c r="C78" s="65" t="n"/>
      <c r="D78" s="65" t="n"/>
      <c r="E78" s="65" t="n"/>
      <c r="F78" s="65" t="n"/>
      <c r="G78" s="65" t="n"/>
      <c r="H78" s="65" t="n"/>
      <c r="I78" s="65" t="n"/>
      <c r="J78" s="65" t="n"/>
      <c r="K78" s="65" t="n"/>
      <c r="L78" s="66" t="n"/>
      <c r="M78" s="65">
        <f>IF(L78="","",INT((L78-Config!$B$9+WEEKDAY(Config!$B$9,2)-1)/7)+1)</f>
        <v/>
      </c>
      <c r="N78" s="66">
        <f>IF(L78="","",L78-2)</f>
        <v/>
      </c>
      <c r="O78" s="65" t="n"/>
      <c r="P78" s="65" t="n"/>
      <c r="Q78" s="65" t="n"/>
    </row>
    <row r="79">
      <c r="A79" s="65" t="n"/>
      <c r="B79" s="65" t="n"/>
      <c r="C79" s="65" t="n"/>
      <c r="D79" s="65" t="n"/>
      <c r="E79" s="65" t="n"/>
      <c r="F79" s="65" t="n"/>
      <c r="G79" s="65" t="n"/>
      <c r="H79" s="65" t="n"/>
      <c r="I79" s="65" t="n"/>
      <c r="J79" s="65" t="n"/>
      <c r="K79" s="65" t="n"/>
      <c r="L79" s="66" t="n"/>
      <c r="M79" s="65">
        <f>IF(L79="","",INT((L79-Config!$B$9+WEEKDAY(Config!$B$9,2)-1)/7)+1)</f>
        <v/>
      </c>
      <c r="N79" s="66">
        <f>IF(L79="","",L79-2)</f>
        <v/>
      </c>
      <c r="O79" s="65" t="n"/>
      <c r="P79" s="65" t="n"/>
      <c r="Q79" s="65" t="n"/>
    </row>
    <row r="80">
      <c r="A80" s="65" t="n"/>
      <c r="B80" s="65" t="n"/>
      <c r="C80" s="65" t="n"/>
      <c r="D80" s="65" t="n"/>
      <c r="E80" s="65" t="n"/>
      <c r="F80" s="65" t="n"/>
      <c r="G80" s="65" t="n"/>
      <c r="H80" s="65" t="n"/>
      <c r="I80" s="65" t="n"/>
      <c r="J80" s="65" t="n"/>
      <c r="K80" s="65" t="n"/>
      <c r="L80" s="66" t="n"/>
      <c r="M80" s="65">
        <f>IF(L80="","",INT((L80-Config!$B$9+WEEKDAY(Config!$B$9,2)-1)/7)+1)</f>
        <v/>
      </c>
      <c r="N80" s="66">
        <f>IF(L80="","",L80-2)</f>
        <v/>
      </c>
      <c r="O80" s="65" t="n"/>
      <c r="P80" s="65" t="n"/>
      <c r="Q80" s="65" t="n"/>
    </row>
    <row r="81">
      <c r="A81" s="65" t="n"/>
      <c r="B81" s="65" t="n"/>
      <c r="C81" s="65" t="n"/>
      <c r="D81" s="65" t="n"/>
      <c r="E81" s="65" t="n"/>
      <c r="F81" s="65" t="n"/>
      <c r="G81" s="65" t="n"/>
      <c r="H81" s="65" t="n"/>
      <c r="I81" s="65" t="n"/>
      <c r="J81" s="65" t="n"/>
      <c r="K81" s="65" t="n"/>
      <c r="L81" s="66" t="n"/>
      <c r="M81" s="65">
        <f>IF(L81="","",INT((L81-Config!$B$9+WEEKDAY(Config!$B$9,2)-1)/7)+1)</f>
        <v/>
      </c>
      <c r="N81" s="66">
        <f>IF(L81="","",L81-2)</f>
        <v/>
      </c>
      <c r="O81" s="65" t="n"/>
      <c r="P81" s="65" t="n"/>
      <c r="Q81" s="65" t="n"/>
    </row>
    <row r="82">
      <c r="A82" s="65" t="n"/>
      <c r="B82" s="65" t="n"/>
      <c r="C82" s="65" t="n"/>
      <c r="D82" s="65" t="n"/>
      <c r="E82" s="65" t="n"/>
      <c r="F82" s="65" t="n"/>
      <c r="G82" s="65" t="n"/>
      <c r="H82" s="65" t="n"/>
      <c r="I82" s="65" t="n"/>
      <c r="J82" s="65" t="n"/>
      <c r="K82" s="65" t="n"/>
      <c r="L82" s="66" t="n"/>
      <c r="M82" s="65">
        <f>IF(L82="","",INT((L82-Config!$B$9+WEEKDAY(Config!$B$9,2)-1)/7)+1)</f>
        <v/>
      </c>
      <c r="N82" s="66">
        <f>IF(L82="","",L82-2)</f>
        <v/>
      </c>
      <c r="O82" s="65" t="n"/>
      <c r="P82" s="65" t="n"/>
      <c r="Q82" s="65" t="n"/>
    </row>
    <row r="83">
      <c r="A83" s="65" t="n"/>
      <c r="B83" s="65" t="n"/>
      <c r="C83" s="65" t="n"/>
      <c r="D83" s="65" t="n"/>
      <c r="E83" s="65" t="n"/>
      <c r="F83" s="65" t="n"/>
      <c r="G83" s="65" t="n"/>
      <c r="H83" s="65" t="n"/>
      <c r="I83" s="65" t="n"/>
      <c r="J83" s="65" t="n"/>
      <c r="K83" s="65" t="n"/>
      <c r="L83" s="66" t="n"/>
      <c r="M83" s="65">
        <f>IF(L83="","",INT((L83-Config!$B$9+WEEKDAY(Config!$B$9,2)-1)/7)+1)</f>
        <v/>
      </c>
      <c r="N83" s="66">
        <f>IF(L83="","",L83-2)</f>
        <v/>
      </c>
      <c r="O83" s="65" t="n"/>
      <c r="P83" s="65" t="n"/>
      <c r="Q83" s="65" t="n"/>
    </row>
    <row r="84">
      <c r="A84" s="65" t="n"/>
      <c r="B84" s="65" t="n"/>
      <c r="C84" s="65" t="n"/>
      <c r="D84" s="65" t="n"/>
      <c r="E84" s="65" t="n"/>
      <c r="F84" s="65" t="n"/>
      <c r="G84" s="65" t="n"/>
      <c r="H84" s="65" t="n"/>
      <c r="I84" s="65" t="n"/>
      <c r="J84" s="65" t="n"/>
      <c r="K84" s="65" t="n"/>
      <c r="L84" s="66" t="n"/>
      <c r="M84" s="65">
        <f>IF(L84="","",INT((L84-Config!$B$9+WEEKDAY(Config!$B$9,2)-1)/7)+1)</f>
        <v/>
      </c>
      <c r="N84" s="66">
        <f>IF(L84="","",L84-2)</f>
        <v/>
      </c>
      <c r="O84" s="65" t="n"/>
      <c r="P84" s="65" t="n"/>
      <c r="Q84" s="65" t="n"/>
    </row>
    <row r="85">
      <c r="A85" s="65" t="n"/>
      <c r="B85" s="65" t="n"/>
      <c r="C85" s="65" t="n"/>
      <c r="D85" s="65" t="n"/>
      <c r="E85" s="65" t="n"/>
      <c r="F85" s="65" t="n"/>
      <c r="G85" s="65" t="n"/>
      <c r="H85" s="65" t="n"/>
      <c r="I85" s="65" t="n"/>
      <c r="J85" s="65" t="n"/>
      <c r="K85" s="65" t="n"/>
      <c r="L85" s="66" t="n"/>
      <c r="M85" s="65">
        <f>IF(L85="","",INT((L85-Config!$B$9+WEEKDAY(Config!$B$9,2)-1)/7)+1)</f>
        <v/>
      </c>
      <c r="N85" s="66">
        <f>IF(L85="","",L85-2)</f>
        <v/>
      </c>
      <c r="O85" s="65" t="n"/>
      <c r="P85" s="65" t="n"/>
      <c r="Q85" s="65" t="n"/>
    </row>
    <row r="86">
      <c r="A86" s="65" t="n"/>
      <c r="B86" s="65" t="n"/>
      <c r="C86" s="65" t="n"/>
      <c r="D86" s="65" t="n"/>
      <c r="E86" s="65" t="n"/>
      <c r="F86" s="65" t="n"/>
      <c r="G86" s="65" t="n"/>
      <c r="H86" s="65" t="n"/>
      <c r="I86" s="65" t="n"/>
      <c r="J86" s="65" t="n"/>
      <c r="K86" s="65" t="n"/>
      <c r="L86" s="66" t="n"/>
      <c r="M86" s="65">
        <f>IF(L86="","",INT((L86-Config!$B$9+WEEKDAY(Config!$B$9,2)-1)/7)+1)</f>
        <v/>
      </c>
      <c r="N86" s="66">
        <f>IF(L86="","",L86-2)</f>
        <v/>
      </c>
      <c r="O86" s="65" t="n"/>
      <c r="P86" s="65" t="n"/>
      <c r="Q86" s="65" t="n"/>
    </row>
    <row r="87">
      <c r="A87" s="65" t="n"/>
      <c r="B87" s="65" t="n"/>
      <c r="C87" s="65" t="n"/>
      <c r="D87" s="65" t="n"/>
      <c r="E87" s="65" t="n"/>
      <c r="F87" s="65" t="n"/>
      <c r="G87" s="65" t="n"/>
      <c r="H87" s="65" t="n"/>
      <c r="I87" s="65" t="n"/>
      <c r="J87" s="65" t="n"/>
      <c r="K87" s="65" t="n"/>
      <c r="L87" s="66" t="n"/>
      <c r="M87" s="65">
        <f>IF(L87="","",INT((L87-Config!$B$9+WEEKDAY(Config!$B$9,2)-1)/7)+1)</f>
        <v/>
      </c>
      <c r="N87" s="66">
        <f>IF(L87="","",L87-2)</f>
        <v/>
      </c>
      <c r="O87" s="65" t="n"/>
      <c r="P87" s="65" t="n"/>
      <c r="Q87" s="65" t="n"/>
    </row>
    <row r="88">
      <c r="A88" s="65" t="n"/>
      <c r="B88" s="65" t="n"/>
      <c r="C88" s="65" t="n"/>
      <c r="D88" s="65" t="n"/>
      <c r="E88" s="65" t="n"/>
      <c r="F88" s="65" t="n"/>
      <c r="G88" s="65" t="n"/>
      <c r="H88" s="65" t="n"/>
      <c r="I88" s="65" t="n"/>
      <c r="J88" s="65" t="n"/>
      <c r="K88" s="65" t="n"/>
      <c r="L88" s="66" t="n"/>
      <c r="M88" s="65">
        <f>IF(L88="","",INT((L88-Config!$B$9+WEEKDAY(Config!$B$9,2)-1)/7)+1)</f>
        <v/>
      </c>
      <c r="N88" s="66">
        <f>IF(L88="","",L88-2)</f>
        <v/>
      </c>
      <c r="O88" s="65" t="n"/>
      <c r="P88" s="65" t="n"/>
      <c r="Q88" s="65" t="n"/>
    </row>
    <row r="89">
      <c r="A89" s="65" t="n"/>
      <c r="B89" s="65" t="n"/>
      <c r="C89" s="65" t="n"/>
      <c r="D89" s="65" t="n"/>
      <c r="E89" s="65" t="n"/>
      <c r="F89" s="65" t="n"/>
      <c r="G89" s="65" t="n"/>
      <c r="H89" s="65" t="n"/>
      <c r="I89" s="65" t="n"/>
      <c r="J89" s="65" t="n"/>
      <c r="K89" s="65" t="n"/>
      <c r="L89" s="66" t="n"/>
      <c r="M89" s="65">
        <f>IF(L89="","",INT((L89-Config!$B$9+WEEKDAY(Config!$B$9,2)-1)/7)+1)</f>
        <v/>
      </c>
      <c r="N89" s="66">
        <f>IF(L89="","",L89-2)</f>
        <v/>
      </c>
      <c r="O89" s="65" t="n"/>
      <c r="P89" s="65" t="n"/>
      <c r="Q89" s="65" t="n"/>
    </row>
    <row r="90">
      <c r="A90" s="65" t="n"/>
      <c r="B90" s="65" t="n"/>
      <c r="C90" s="65" t="n"/>
      <c r="D90" s="65" t="n"/>
      <c r="E90" s="65" t="n"/>
      <c r="F90" s="65" t="n"/>
      <c r="G90" s="65" t="n"/>
      <c r="H90" s="65" t="n"/>
      <c r="I90" s="65" t="n"/>
      <c r="J90" s="65" t="n"/>
      <c r="K90" s="65" t="n"/>
      <c r="L90" s="66" t="n"/>
      <c r="M90" s="65">
        <f>IF(L90="","",INT((L90-Config!$B$9+WEEKDAY(Config!$B$9,2)-1)/7)+1)</f>
        <v/>
      </c>
      <c r="N90" s="66">
        <f>IF(L90="","",L90-2)</f>
        <v/>
      </c>
      <c r="O90" s="65" t="n"/>
      <c r="P90" s="65" t="n"/>
      <c r="Q90" s="65" t="n"/>
    </row>
    <row r="91">
      <c r="A91" s="65" t="n"/>
      <c r="B91" s="65" t="n"/>
      <c r="C91" s="65" t="n"/>
      <c r="D91" s="65" t="n"/>
      <c r="E91" s="65" t="n"/>
      <c r="F91" s="65" t="n"/>
      <c r="G91" s="65" t="n"/>
      <c r="H91" s="65" t="n"/>
      <c r="I91" s="65" t="n"/>
      <c r="J91" s="65" t="n"/>
      <c r="K91" s="65" t="n"/>
      <c r="L91" s="66" t="n"/>
      <c r="M91" s="65">
        <f>IF(L91="","",INT((L91-Config!$B$9+WEEKDAY(Config!$B$9,2)-1)/7)+1)</f>
        <v/>
      </c>
      <c r="N91" s="66">
        <f>IF(L91="","",L91-2)</f>
        <v/>
      </c>
      <c r="O91" s="65" t="n"/>
      <c r="P91" s="65" t="n"/>
      <c r="Q91" s="65" t="n"/>
    </row>
    <row r="92">
      <c r="A92" s="65" t="n"/>
      <c r="B92" s="65" t="n"/>
      <c r="C92" s="65" t="n"/>
      <c r="D92" s="65" t="n"/>
      <c r="E92" s="65" t="n"/>
      <c r="F92" s="65" t="n"/>
      <c r="G92" s="65" t="n"/>
      <c r="H92" s="65" t="n"/>
      <c r="I92" s="65" t="n"/>
      <c r="J92" s="65" t="n"/>
      <c r="K92" s="65" t="n"/>
      <c r="L92" s="66" t="n"/>
      <c r="M92" s="65">
        <f>IF(L92="","",INT((L92-Config!$B$9+WEEKDAY(Config!$B$9,2)-1)/7)+1)</f>
        <v/>
      </c>
      <c r="N92" s="66">
        <f>IF(L92="","",L92-2)</f>
        <v/>
      </c>
      <c r="O92" s="65" t="n"/>
      <c r="P92" s="65" t="n"/>
      <c r="Q92" s="65" t="n"/>
    </row>
    <row r="93">
      <c r="A93" s="65" t="n"/>
      <c r="B93" s="65" t="n"/>
      <c r="C93" s="65" t="n"/>
      <c r="D93" s="65" t="n"/>
      <c r="E93" s="65" t="n"/>
      <c r="F93" s="65" t="n"/>
      <c r="G93" s="65" t="n"/>
      <c r="H93" s="65" t="n"/>
      <c r="I93" s="65" t="n"/>
      <c r="J93" s="65" t="n"/>
      <c r="K93" s="65" t="n"/>
      <c r="L93" s="66" t="n"/>
      <c r="M93" s="65">
        <f>IF(L93="","",INT((L93-Config!$B$9+WEEKDAY(Config!$B$9,2)-1)/7)+1)</f>
        <v/>
      </c>
      <c r="N93" s="66">
        <f>IF(L93="","",L93-2)</f>
        <v/>
      </c>
      <c r="O93" s="65" t="n"/>
      <c r="P93" s="65" t="n"/>
      <c r="Q93" s="65" t="n"/>
    </row>
    <row r="94">
      <c r="A94" s="65" t="n"/>
      <c r="B94" s="65" t="n"/>
      <c r="C94" s="65" t="n"/>
      <c r="D94" s="65" t="n"/>
      <c r="E94" s="65" t="n"/>
      <c r="F94" s="65" t="n"/>
      <c r="G94" s="65" t="n"/>
      <c r="H94" s="65" t="n"/>
      <c r="I94" s="65" t="n"/>
      <c r="J94" s="65" t="n"/>
      <c r="K94" s="65" t="n"/>
      <c r="L94" s="66" t="n"/>
      <c r="M94" s="65">
        <f>IF(L94="","",INT((L94-Config!$B$9+WEEKDAY(Config!$B$9,2)-1)/7)+1)</f>
        <v/>
      </c>
      <c r="N94" s="66">
        <f>IF(L94="","",L94-2)</f>
        <v/>
      </c>
      <c r="O94" s="65" t="n"/>
      <c r="P94" s="65" t="n"/>
      <c r="Q94" s="65" t="n"/>
    </row>
    <row r="95">
      <c r="A95" s="65" t="n"/>
      <c r="B95" s="65" t="n"/>
      <c r="C95" s="65" t="n"/>
      <c r="D95" s="65" t="n"/>
      <c r="E95" s="65" t="n"/>
      <c r="F95" s="65" t="n"/>
      <c r="G95" s="65" t="n"/>
      <c r="H95" s="65" t="n"/>
      <c r="I95" s="65" t="n"/>
      <c r="J95" s="65" t="n"/>
      <c r="K95" s="65" t="n"/>
      <c r="L95" s="66" t="n"/>
      <c r="M95" s="65">
        <f>IF(L95="","",INT((L95-Config!$B$9+WEEKDAY(Config!$B$9,2)-1)/7)+1)</f>
        <v/>
      </c>
      <c r="N95" s="66">
        <f>IF(L95="","",L95-2)</f>
        <v/>
      </c>
      <c r="O95" s="65" t="n"/>
      <c r="P95" s="65" t="n"/>
      <c r="Q95" s="65" t="n"/>
    </row>
    <row r="96">
      <c r="A96" s="65" t="n"/>
      <c r="B96" s="65" t="n"/>
      <c r="C96" s="65" t="n"/>
      <c r="D96" s="65" t="n"/>
      <c r="E96" s="65" t="n"/>
      <c r="F96" s="65" t="n"/>
      <c r="G96" s="65" t="n"/>
      <c r="H96" s="65" t="n"/>
      <c r="I96" s="65" t="n"/>
      <c r="J96" s="65" t="n"/>
      <c r="K96" s="65" t="n"/>
      <c r="L96" s="66" t="n"/>
      <c r="M96" s="65">
        <f>IF(L96="","",INT((L96-Config!$B$9+WEEKDAY(Config!$B$9,2)-1)/7)+1)</f>
        <v/>
      </c>
      <c r="N96" s="66">
        <f>IF(L96="","",L96-2)</f>
        <v/>
      </c>
      <c r="O96" s="65" t="n"/>
      <c r="P96" s="65" t="n"/>
      <c r="Q96" s="65" t="n"/>
    </row>
    <row r="97">
      <c r="A97" s="65" t="n"/>
      <c r="B97" s="65" t="n"/>
      <c r="C97" s="65" t="n"/>
      <c r="D97" s="65" t="n"/>
      <c r="E97" s="65" t="n"/>
      <c r="F97" s="65" t="n"/>
      <c r="G97" s="65" t="n"/>
      <c r="H97" s="65" t="n"/>
      <c r="I97" s="65" t="n"/>
      <c r="J97" s="65" t="n"/>
      <c r="K97" s="65" t="n"/>
      <c r="L97" s="66" t="n"/>
      <c r="M97" s="65">
        <f>IF(L97="","",INT((L97-Config!$B$9+WEEKDAY(Config!$B$9,2)-1)/7)+1)</f>
        <v/>
      </c>
      <c r="N97" s="66">
        <f>IF(L97="","",L97-2)</f>
        <v/>
      </c>
      <c r="O97" s="65" t="n"/>
      <c r="P97" s="65" t="n"/>
      <c r="Q97" s="65" t="n"/>
    </row>
    <row r="98">
      <c r="A98" s="65" t="n"/>
      <c r="B98" s="65" t="n"/>
      <c r="C98" s="65" t="n"/>
      <c r="D98" s="65" t="n"/>
      <c r="E98" s="65" t="n"/>
      <c r="F98" s="65" t="n"/>
      <c r="G98" s="65" t="n"/>
      <c r="H98" s="65" t="n"/>
      <c r="I98" s="65" t="n"/>
      <c r="J98" s="65" t="n"/>
      <c r="K98" s="65" t="n"/>
      <c r="L98" s="66" t="n"/>
      <c r="M98" s="65">
        <f>IF(L98="","",INT((L98-Config!$B$9+WEEKDAY(Config!$B$9,2)-1)/7)+1)</f>
        <v/>
      </c>
      <c r="N98" s="66">
        <f>IF(L98="","",L98-2)</f>
        <v/>
      </c>
      <c r="O98" s="65" t="n"/>
      <c r="P98" s="65" t="n"/>
      <c r="Q98" s="65" t="n"/>
    </row>
    <row r="99">
      <c r="A99" s="65" t="n"/>
      <c r="B99" s="65" t="n"/>
      <c r="C99" s="65" t="n"/>
      <c r="D99" s="65" t="n"/>
      <c r="E99" s="65" t="n"/>
      <c r="F99" s="65" t="n"/>
      <c r="G99" s="65" t="n"/>
      <c r="H99" s="65" t="n"/>
      <c r="I99" s="65" t="n"/>
      <c r="J99" s="65" t="n"/>
      <c r="K99" s="65" t="n"/>
      <c r="L99" s="66" t="n"/>
      <c r="M99" s="65">
        <f>IF(L99="","",INT((L99-Config!$B$9+WEEKDAY(Config!$B$9,2)-1)/7)+1)</f>
        <v/>
      </c>
      <c r="N99" s="66">
        <f>IF(L99="","",L99-2)</f>
        <v/>
      </c>
      <c r="O99" s="65" t="n"/>
      <c r="P99" s="65" t="n"/>
      <c r="Q99" s="65" t="n"/>
    </row>
    <row r="100">
      <c r="A100" s="65" t="n"/>
      <c r="B100" s="65" t="n"/>
      <c r="C100" s="65" t="n"/>
      <c r="D100" s="65" t="n"/>
      <c r="E100" s="65" t="n"/>
      <c r="F100" s="65" t="n"/>
      <c r="G100" s="65" t="n"/>
      <c r="H100" s="65" t="n"/>
      <c r="I100" s="65" t="n"/>
      <c r="J100" s="65" t="n"/>
      <c r="K100" s="65" t="n"/>
      <c r="L100" s="66" t="n"/>
      <c r="M100" s="65">
        <f>IF(L100="","",INT((L100-Config!$B$9+WEEKDAY(Config!$B$9,2)-1)/7)+1)</f>
        <v/>
      </c>
      <c r="N100" s="66">
        <f>IF(L100="","",L100-2)</f>
        <v/>
      </c>
      <c r="O100" s="65" t="n"/>
      <c r="P100" s="65" t="n"/>
      <c r="Q100" s="65" t="n"/>
    </row>
    <row r="101">
      <c r="A101" s="65" t="n"/>
      <c r="B101" s="65" t="n"/>
      <c r="C101" s="65" t="n"/>
      <c r="D101" s="65" t="n"/>
      <c r="E101" s="65" t="n"/>
      <c r="F101" s="65" t="n"/>
      <c r="G101" s="65" t="n"/>
      <c r="H101" s="65" t="n"/>
      <c r="I101" s="65" t="n"/>
      <c r="J101" s="65" t="n"/>
      <c r="K101" s="65" t="n"/>
      <c r="L101" s="66" t="n"/>
      <c r="M101" s="65">
        <f>IF(L101="","",INT((L101-Config!$B$9+WEEKDAY(Config!$B$9,2)-1)/7)+1)</f>
        <v/>
      </c>
      <c r="N101" s="66">
        <f>IF(L101="","",L101-2)</f>
        <v/>
      </c>
      <c r="O101" s="65" t="n"/>
      <c r="P101" s="65" t="n"/>
      <c r="Q101" s="65" t="n"/>
    </row>
    <row r="102">
      <c r="A102" s="65" t="n"/>
      <c r="B102" s="65" t="n"/>
      <c r="C102" s="65" t="n"/>
      <c r="D102" s="65" t="n"/>
      <c r="E102" s="65" t="n"/>
      <c r="F102" s="65" t="n"/>
      <c r="G102" s="65" t="n"/>
      <c r="H102" s="65" t="n"/>
      <c r="I102" s="65" t="n"/>
      <c r="J102" s="65" t="n"/>
      <c r="K102" s="65" t="n"/>
      <c r="L102" s="66" t="n"/>
      <c r="M102" s="65">
        <f>IF(L102="","",INT((L102-Config!$B$9+WEEKDAY(Config!$B$9,2)-1)/7)+1)</f>
        <v/>
      </c>
      <c r="N102" s="66">
        <f>IF(L102="","",L102-2)</f>
        <v/>
      </c>
      <c r="O102" s="65" t="n"/>
      <c r="P102" s="65" t="n"/>
      <c r="Q102" s="65" t="n"/>
    </row>
    <row r="103">
      <c r="A103" s="65" t="n"/>
      <c r="B103" s="65" t="n"/>
      <c r="C103" s="65" t="n"/>
      <c r="D103" s="65" t="n"/>
      <c r="E103" s="65" t="n"/>
      <c r="F103" s="65" t="n"/>
      <c r="G103" s="65" t="n"/>
      <c r="H103" s="65" t="n"/>
      <c r="I103" s="65" t="n"/>
      <c r="J103" s="65" t="n"/>
      <c r="K103" s="65" t="n"/>
      <c r="L103" s="66" t="n"/>
      <c r="M103" s="65">
        <f>IF(L103="","",INT((L103-Config!$B$9+WEEKDAY(Config!$B$9,2)-1)/7)+1)</f>
        <v/>
      </c>
      <c r="N103" s="66">
        <f>IF(L103="","",L103-2)</f>
        <v/>
      </c>
      <c r="O103" s="65" t="n"/>
      <c r="P103" s="65" t="n"/>
      <c r="Q103" s="65" t="n"/>
    </row>
    <row r="104">
      <c r="A104" s="65" t="n"/>
      <c r="B104" s="65" t="n"/>
      <c r="C104" s="65" t="n"/>
      <c r="D104" s="65" t="n"/>
      <c r="E104" s="65" t="n"/>
      <c r="F104" s="65" t="n"/>
      <c r="G104" s="65" t="n"/>
      <c r="H104" s="65" t="n"/>
      <c r="I104" s="65" t="n"/>
      <c r="J104" s="65" t="n"/>
      <c r="K104" s="65" t="n"/>
      <c r="L104" s="66" t="n"/>
      <c r="M104" s="65">
        <f>IF(L104="","",INT((L104-Config!$B$9+WEEKDAY(Config!$B$9,2)-1)/7)+1)</f>
        <v/>
      </c>
      <c r="N104" s="66">
        <f>IF(L104="","",L104-2)</f>
        <v/>
      </c>
      <c r="O104" s="65" t="n"/>
      <c r="P104" s="65" t="n"/>
      <c r="Q104" s="65" t="n"/>
    </row>
  </sheetData>
  <mergeCells count="2">
    <mergeCell ref="A2:Q2"/>
    <mergeCell ref="A1:Q1"/>
  </mergeCells>
  <conditionalFormatting sqref="P5:P104">
    <cfRule type="cellIs" priority="1" operator="equal" dxfId="6">
      <formula>"Published"</formula>
    </cfRule>
    <cfRule type="cellIs" priority="2" operator="equal" dxfId="7">
      <formula>"Draft"</formula>
    </cfRule>
    <cfRule type="cellIs" priority="3" operator="equal" dxfId="8">
      <formula>"Approved"</formula>
    </cfRule>
    <cfRule type="cellIs" priority="4" operator="equal" dxfId="9">
      <formula>"Review"</formula>
    </cfRule>
  </conditionalFormatting>
  <dataValidations count="5">
    <dataValidation sqref="C5:C104" showDropDown="0" showInputMessage="0" showErrorMessage="0" allowBlank="1" type="list">
      <formula1>"Hero,Hub,Hygiene"</formula1>
    </dataValidation>
    <dataValidation sqref="K5:K104" showDropDown="0" showInputMessage="0" showErrorMessage="0" allowBlank="1" type="list">
      <formula1>"Facebook,Zalo OA,Website,TikTok,Email"</formula1>
    </dataValidation>
    <dataValidation sqref="P5:P104" showDropDown="0" showInputMessage="0" showErrorMessage="0" allowBlank="1" type="list">
      <formula1>"Draft,Review,Approved,Published"</formula1>
    </dataValidation>
    <dataValidation sqref="D5:D104" showDropDown="0" showInputMessage="0" showErrorMessage="0" allowBlank="1" type="list">
      <formula1>"TOFU,MOFU,BOFU"</formula1>
    </dataValidation>
    <dataValidation sqref="L5:L104" showDropDown="0" showInputMessage="1" showErrorMessage="1" allowBlank="1" errorTitle="Ngày không hợp lệ" error="Vui lòng nhập một ngày hợp lệ theo định dạng dd/mm/yyyy (ví dụ 25/12/2026)." promptTitle="Nhập Ngày đăng" prompt="Nhập theo định dạng dd/mm/yyyy (ví dụ 25/12/2026). Ô đã đặt sẵn number format dd/mm/yyyy." type="date" operator="between">
      <formula1>DATE(2000,1,1)</formula1>
      <formula2>DATE(2100,12,31)</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10" customWidth="1" min="3" max="3"/>
    <col width="14" customWidth="1" min="4" max="4"/>
    <col width="26" customWidth="1" min="5" max="5"/>
    <col width="26" customWidth="1" min="6" max="6"/>
    <col width="26" customWidth="1" min="7" max="7"/>
    <col width="20" customWidth="1" min="8" max="8"/>
    <col width="40" customWidth="1" min="9" max="9"/>
    <col width="26" customWidth="1" min="10" max="10"/>
    <col width="12" customWidth="1" min="11" max="11"/>
    <col width="12" customWidth="1" min="12" max="12"/>
    <col width="10" customWidth="1" min="13" max="13"/>
    <col width="12" customWidth="1" min="14" max="14"/>
    <col width="16" customWidth="1" min="15" max="15"/>
    <col width="12" customWidth="1" min="16" max="16"/>
    <col width="22" customWidth="1" min="17" max="17"/>
  </cols>
  <sheetData>
    <row r="1" ht="28" customHeight="1">
      <c r="A1" s="67" t="inlineStr">
        <is>
          <t>PILLAR 2: [Điền tên chủ đề Pillar 2]</t>
        </is>
      </c>
    </row>
    <row r="2" ht="18" customHeight="1">
      <c r="A2" s="63" t="inlineStr">
        <is>
          <t>Persona: [Điền tên/mô tả Persona mục tiêu]  |  Thương hiệu: [Điền tên thương hiệu]  |  Pillar này đăng vào: Tuần 2  (Xem đầy đủ cấu hình tại sheet Config)</t>
        </is>
      </c>
    </row>
    <row r="4" ht="32" customHeight="1">
      <c r="A4" s="68" t="inlineStr">
        <is>
          <t>Mã Cluster</t>
        </is>
      </c>
      <c r="B4" s="68" t="inlineStr">
        <is>
          <t>Tên bài/Chủ đề</t>
        </is>
      </c>
      <c r="C4" s="68" t="inlineStr">
        <is>
          <t>Loại 3H</t>
        </is>
      </c>
      <c r="D4" s="68" t="inlineStr">
        <is>
          <t>Mục tiêu phễu
(TOFU/MOFU/BOFU)</t>
        </is>
      </c>
      <c r="E4" s="68" t="inlineStr">
        <is>
          <t>Persona mục tiêu</t>
        </is>
      </c>
      <c r="F4" s="68" t="inlineStr">
        <is>
          <t>Từ khóa chính</t>
        </is>
      </c>
      <c r="G4" s="68" t="inlineStr">
        <is>
          <t>Tone giọng điệu</t>
        </is>
      </c>
      <c r="H4" s="68" t="inlineStr">
        <is>
          <t>Độ dài mong muốn</t>
        </is>
      </c>
      <c r="I4" s="68" t="inlineStr">
        <is>
          <t>Outline/Dàn ý chính</t>
        </is>
      </c>
      <c r="J4" s="68" t="inlineStr">
        <is>
          <t>CTA mong muốn</t>
        </is>
      </c>
      <c r="K4" s="68" t="inlineStr">
        <is>
          <t>Kênh đăng</t>
        </is>
      </c>
      <c r="L4" s="68" t="inlineStr">
        <is>
          <t>Ngày đăng</t>
        </is>
      </c>
      <c r="M4" s="68" t="inlineStr">
        <is>
          <t>Tuần (auto)</t>
        </is>
      </c>
      <c r="N4" s="68" t="inlineStr">
        <is>
          <t>Deadline</t>
        </is>
      </c>
      <c r="O4" s="68" t="inlineStr">
        <is>
          <t>Người phụ trách</t>
        </is>
      </c>
      <c r="P4" s="68" t="inlineStr">
        <is>
          <t>Trạng thái</t>
        </is>
      </c>
      <c r="Q4" s="68" t="inlineStr">
        <is>
          <t>KPI dự kiến</t>
        </is>
      </c>
    </row>
    <row r="5">
      <c r="A5" s="65" t="n"/>
      <c r="B5" s="65" t="n"/>
      <c r="C5" s="65" t="n"/>
      <c r="D5" s="65" t="n"/>
      <c r="E5" s="65" t="n"/>
      <c r="F5" s="65" t="n"/>
      <c r="G5" s="65" t="n"/>
      <c r="H5" s="65" t="n"/>
      <c r="I5" s="65" t="n"/>
      <c r="J5" s="65" t="n"/>
      <c r="K5" s="65" t="n"/>
      <c r="L5" s="66" t="n"/>
      <c r="M5" s="65">
        <f>IF(L5="","",INT((L5-Config!$B$9+WEEKDAY(Config!$B$9,2)-1)/7)+1)</f>
        <v/>
      </c>
      <c r="N5" s="66">
        <f>IF(L5="","",L5-2)</f>
        <v/>
      </c>
      <c r="O5" s="65" t="n"/>
      <c r="P5" s="65" t="n"/>
      <c r="Q5" s="65" t="n"/>
    </row>
    <row r="6">
      <c r="A6" s="65" t="n"/>
      <c r="B6" s="65" t="n"/>
      <c r="C6" s="65" t="n"/>
      <c r="D6" s="65" t="n"/>
      <c r="E6" s="65" t="n"/>
      <c r="F6" s="65" t="n"/>
      <c r="G6" s="65" t="n"/>
      <c r="H6" s="65" t="n"/>
      <c r="I6" s="65" t="n"/>
      <c r="J6" s="65" t="n"/>
      <c r="K6" s="65" t="n"/>
      <c r="L6" s="66" t="n"/>
      <c r="M6" s="65">
        <f>IF(L6="","",INT((L6-Config!$B$9+WEEKDAY(Config!$B$9,2)-1)/7)+1)</f>
        <v/>
      </c>
      <c r="N6" s="66">
        <f>IF(L6="","",L6-2)</f>
        <v/>
      </c>
      <c r="O6" s="65" t="n"/>
      <c r="P6" s="65" t="n"/>
      <c r="Q6" s="65" t="n"/>
    </row>
    <row r="7">
      <c r="A7" s="65" t="n"/>
      <c r="B7" s="65" t="n"/>
      <c r="C7" s="65" t="n"/>
      <c r="D7" s="65" t="n"/>
      <c r="E7" s="65" t="n"/>
      <c r="F7" s="65" t="n"/>
      <c r="G7" s="65" t="n"/>
      <c r="H7" s="65" t="n"/>
      <c r="I7" s="65" t="n"/>
      <c r="J7" s="65" t="n"/>
      <c r="K7" s="65" t="n"/>
      <c r="L7" s="66" t="n"/>
      <c r="M7" s="65">
        <f>IF(L7="","",INT((L7-Config!$B$9+WEEKDAY(Config!$B$9,2)-1)/7)+1)</f>
        <v/>
      </c>
      <c r="N7" s="66">
        <f>IF(L7="","",L7-2)</f>
        <v/>
      </c>
      <c r="O7" s="65" t="n"/>
      <c r="P7" s="65" t="n"/>
      <c r="Q7" s="65" t="n"/>
    </row>
    <row r="8">
      <c r="A8" s="65" t="n"/>
      <c r="B8" s="65" t="n"/>
      <c r="C8" s="65" t="n"/>
      <c r="D8" s="65" t="n"/>
      <c r="E8" s="65" t="n"/>
      <c r="F8" s="65" t="n"/>
      <c r="G8" s="65" t="n"/>
      <c r="H8" s="65" t="n"/>
      <c r="I8" s="65" t="n"/>
      <c r="J8" s="65" t="n"/>
      <c r="K8" s="65" t="n"/>
      <c r="L8" s="66" t="n"/>
      <c r="M8" s="65">
        <f>IF(L8="","",INT((L8-Config!$B$9+WEEKDAY(Config!$B$9,2)-1)/7)+1)</f>
        <v/>
      </c>
      <c r="N8" s="66">
        <f>IF(L8="","",L8-2)</f>
        <v/>
      </c>
      <c r="O8" s="65" t="n"/>
      <c r="P8" s="65" t="n"/>
      <c r="Q8" s="65" t="n"/>
    </row>
    <row r="9">
      <c r="A9" s="65" t="n"/>
      <c r="B9" s="65" t="n"/>
      <c r="C9" s="65" t="n"/>
      <c r="D9" s="65" t="n"/>
      <c r="E9" s="65" t="n"/>
      <c r="F9" s="65" t="n"/>
      <c r="G9" s="65" t="n"/>
      <c r="H9" s="65" t="n"/>
      <c r="I9" s="65" t="n"/>
      <c r="J9" s="65" t="n"/>
      <c r="K9" s="65" t="n"/>
      <c r="L9" s="66" t="n"/>
      <c r="M9" s="65">
        <f>IF(L9="","",INT((L9-Config!$B$9+WEEKDAY(Config!$B$9,2)-1)/7)+1)</f>
        <v/>
      </c>
      <c r="N9" s="66">
        <f>IF(L9="","",L9-2)</f>
        <v/>
      </c>
      <c r="O9" s="65" t="n"/>
      <c r="P9" s="65" t="n"/>
      <c r="Q9" s="65" t="n"/>
    </row>
    <row r="10">
      <c r="A10" s="65" t="n"/>
      <c r="B10" s="65" t="n"/>
      <c r="C10" s="65" t="n"/>
      <c r="D10" s="65" t="n"/>
      <c r="E10" s="65" t="n"/>
      <c r="F10" s="65" t="n"/>
      <c r="G10" s="65" t="n"/>
      <c r="H10" s="65" t="n"/>
      <c r="I10" s="65" t="n"/>
      <c r="J10" s="65" t="n"/>
      <c r="K10" s="65" t="n"/>
      <c r="L10" s="66" t="n"/>
      <c r="M10" s="65">
        <f>IF(L10="","",INT((L10-Config!$B$9+WEEKDAY(Config!$B$9,2)-1)/7)+1)</f>
        <v/>
      </c>
      <c r="N10" s="66">
        <f>IF(L10="","",L10-2)</f>
        <v/>
      </c>
      <c r="O10" s="65" t="n"/>
      <c r="P10" s="65" t="n"/>
      <c r="Q10" s="65" t="n"/>
    </row>
    <row r="11">
      <c r="A11" s="65" t="n"/>
      <c r="B11" s="65" t="n"/>
      <c r="C11" s="65" t="n"/>
      <c r="D11" s="65" t="n"/>
      <c r="E11" s="65" t="n"/>
      <c r="F11" s="65" t="n"/>
      <c r="G11" s="65" t="n"/>
      <c r="H11" s="65" t="n"/>
      <c r="I11" s="65" t="n"/>
      <c r="J11" s="65" t="n"/>
      <c r="K11" s="65" t="n"/>
      <c r="L11" s="66" t="n"/>
      <c r="M11" s="65">
        <f>IF(L11="","",INT((L11-Config!$B$9+WEEKDAY(Config!$B$9,2)-1)/7)+1)</f>
        <v/>
      </c>
      <c r="N11" s="66">
        <f>IF(L11="","",L11-2)</f>
        <v/>
      </c>
      <c r="O11" s="65" t="n"/>
      <c r="P11" s="65" t="n"/>
      <c r="Q11" s="65" t="n"/>
    </row>
    <row r="12">
      <c r="A12" s="65" t="n"/>
      <c r="B12" s="65" t="n"/>
      <c r="C12" s="65" t="n"/>
      <c r="D12" s="65" t="n"/>
      <c r="E12" s="65" t="n"/>
      <c r="F12" s="65" t="n"/>
      <c r="G12" s="65" t="n"/>
      <c r="H12" s="65" t="n"/>
      <c r="I12" s="65" t="n"/>
      <c r="J12" s="65" t="n"/>
      <c r="K12" s="65" t="n"/>
      <c r="L12" s="66" t="n"/>
      <c r="M12" s="65">
        <f>IF(L12="","",INT((L12-Config!$B$9+WEEKDAY(Config!$B$9,2)-1)/7)+1)</f>
        <v/>
      </c>
      <c r="N12" s="66">
        <f>IF(L12="","",L12-2)</f>
        <v/>
      </c>
      <c r="O12" s="65" t="n"/>
      <c r="P12" s="65" t="n"/>
      <c r="Q12" s="65" t="n"/>
    </row>
    <row r="13">
      <c r="A13" s="65" t="n"/>
      <c r="B13" s="65" t="n"/>
      <c r="C13" s="65" t="n"/>
      <c r="D13" s="65" t="n"/>
      <c r="E13" s="65" t="n"/>
      <c r="F13" s="65" t="n"/>
      <c r="G13" s="65" t="n"/>
      <c r="H13" s="65" t="n"/>
      <c r="I13" s="65" t="n"/>
      <c r="J13" s="65" t="n"/>
      <c r="K13" s="65" t="n"/>
      <c r="L13" s="66" t="n"/>
      <c r="M13" s="65">
        <f>IF(L13="","",INT((L13-Config!$B$9+WEEKDAY(Config!$B$9,2)-1)/7)+1)</f>
        <v/>
      </c>
      <c r="N13" s="66">
        <f>IF(L13="","",L13-2)</f>
        <v/>
      </c>
      <c r="O13" s="65" t="n"/>
      <c r="P13" s="65" t="n"/>
      <c r="Q13" s="65" t="n"/>
    </row>
    <row r="14">
      <c r="A14" s="65" t="n"/>
      <c r="B14" s="65" t="n"/>
      <c r="C14" s="65" t="n"/>
      <c r="D14" s="65" t="n"/>
      <c r="E14" s="65" t="n"/>
      <c r="F14" s="65" t="n"/>
      <c r="G14" s="65" t="n"/>
      <c r="H14" s="65" t="n"/>
      <c r="I14" s="65" t="n"/>
      <c r="J14" s="65" t="n"/>
      <c r="K14" s="65" t="n"/>
      <c r="L14" s="66" t="n"/>
      <c r="M14" s="65">
        <f>IF(L14="","",INT((L14-Config!$B$9+WEEKDAY(Config!$B$9,2)-1)/7)+1)</f>
        <v/>
      </c>
      <c r="N14" s="66">
        <f>IF(L14="","",L14-2)</f>
        <v/>
      </c>
      <c r="O14" s="65" t="n"/>
      <c r="P14" s="65" t="n"/>
      <c r="Q14" s="65" t="n"/>
    </row>
    <row r="15">
      <c r="A15" s="65" t="n"/>
      <c r="B15" s="65" t="n"/>
      <c r="C15" s="65" t="n"/>
      <c r="D15" s="65" t="n"/>
      <c r="E15" s="65" t="n"/>
      <c r="F15" s="65" t="n"/>
      <c r="G15" s="65" t="n"/>
      <c r="H15" s="65" t="n"/>
      <c r="I15" s="65" t="n"/>
      <c r="J15" s="65" t="n"/>
      <c r="K15" s="65" t="n"/>
      <c r="L15" s="66" t="n"/>
      <c r="M15" s="65">
        <f>IF(L15="","",INT((L15-Config!$B$9+WEEKDAY(Config!$B$9,2)-1)/7)+1)</f>
        <v/>
      </c>
      <c r="N15" s="66">
        <f>IF(L15="","",L15-2)</f>
        <v/>
      </c>
      <c r="O15" s="65" t="n"/>
      <c r="P15" s="65" t="n"/>
      <c r="Q15" s="65" t="n"/>
    </row>
    <row r="16">
      <c r="A16" s="65" t="n"/>
      <c r="B16" s="65" t="n"/>
      <c r="C16" s="65" t="n"/>
      <c r="D16" s="65" t="n"/>
      <c r="E16" s="65" t="n"/>
      <c r="F16" s="65" t="n"/>
      <c r="G16" s="65" t="n"/>
      <c r="H16" s="65" t="n"/>
      <c r="I16" s="65" t="n"/>
      <c r="J16" s="65" t="n"/>
      <c r="K16" s="65" t="n"/>
      <c r="L16" s="66" t="n"/>
      <c r="M16" s="65">
        <f>IF(L16="","",INT((L16-Config!$B$9+WEEKDAY(Config!$B$9,2)-1)/7)+1)</f>
        <v/>
      </c>
      <c r="N16" s="66">
        <f>IF(L16="","",L16-2)</f>
        <v/>
      </c>
      <c r="O16" s="65" t="n"/>
      <c r="P16" s="65" t="n"/>
      <c r="Q16" s="65" t="n"/>
    </row>
    <row r="17">
      <c r="A17" s="65" t="n"/>
      <c r="B17" s="65" t="n"/>
      <c r="C17" s="65" t="n"/>
      <c r="D17" s="65" t="n"/>
      <c r="E17" s="65" t="n"/>
      <c r="F17" s="65" t="n"/>
      <c r="G17" s="65" t="n"/>
      <c r="H17" s="65" t="n"/>
      <c r="I17" s="65" t="n"/>
      <c r="J17" s="65" t="n"/>
      <c r="K17" s="65" t="n"/>
      <c r="L17" s="66" t="n"/>
      <c r="M17" s="65">
        <f>IF(L17="","",INT((L17-Config!$B$9+WEEKDAY(Config!$B$9,2)-1)/7)+1)</f>
        <v/>
      </c>
      <c r="N17" s="66">
        <f>IF(L17="","",L17-2)</f>
        <v/>
      </c>
      <c r="O17" s="65" t="n"/>
      <c r="P17" s="65" t="n"/>
      <c r="Q17" s="65" t="n"/>
    </row>
    <row r="18">
      <c r="A18" s="65" t="n"/>
      <c r="B18" s="65" t="n"/>
      <c r="C18" s="65" t="n"/>
      <c r="D18" s="65" t="n"/>
      <c r="E18" s="65" t="n"/>
      <c r="F18" s="65" t="n"/>
      <c r="G18" s="65" t="n"/>
      <c r="H18" s="65" t="n"/>
      <c r="I18" s="65" t="n"/>
      <c r="J18" s="65" t="n"/>
      <c r="K18" s="65" t="n"/>
      <c r="L18" s="66" t="n"/>
      <c r="M18" s="65">
        <f>IF(L18="","",INT((L18-Config!$B$9+WEEKDAY(Config!$B$9,2)-1)/7)+1)</f>
        <v/>
      </c>
      <c r="N18" s="66">
        <f>IF(L18="","",L18-2)</f>
        <v/>
      </c>
      <c r="O18" s="65" t="n"/>
      <c r="P18" s="65" t="n"/>
      <c r="Q18" s="65" t="n"/>
    </row>
    <row r="19">
      <c r="A19" s="65" t="n"/>
      <c r="B19" s="65" t="n"/>
      <c r="C19" s="65" t="n"/>
      <c r="D19" s="65" t="n"/>
      <c r="E19" s="65" t="n"/>
      <c r="F19" s="65" t="n"/>
      <c r="G19" s="65" t="n"/>
      <c r="H19" s="65" t="n"/>
      <c r="I19" s="65" t="n"/>
      <c r="J19" s="65" t="n"/>
      <c r="K19" s="65" t="n"/>
      <c r="L19" s="66" t="n"/>
      <c r="M19" s="65">
        <f>IF(L19="","",INT((L19-Config!$B$9+WEEKDAY(Config!$B$9,2)-1)/7)+1)</f>
        <v/>
      </c>
      <c r="N19" s="66">
        <f>IF(L19="","",L19-2)</f>
        <v/>
      </c>
      <c r="O19" s="65" t="n"/>
      <c r="P19" s="65" t="n"/>
      <c r="Q19" s="65" t="n"/>
    </row>
    <row r="20">
      <c r="A20" s="65" t="n"/>
      <c r="B20" s="65" t="n"/>
      <c r="C20" s="65" t="n"/>
      <c r="D20" s="65" t="n"/>
      <c r="E20" s="65" t="n"/>
      <c r="F20" s="65" t="n"/>
      <c r="G20" s="65" t="n"/>
      <c r="H20" s="65" t="n"/>
      <c r="I20" s="65" t="n"/>
      <c r="J20" s="65" t="n"/>
      <c r="K20" s="65" t="n"/>
      <c r="L20" s="66" t="n"/>
      <c r="M20" s="65">
        <f>IF(L20="","",INT((L20-Config!$B$9+WEEKDAY(Config!$B$9,2)-1)/7)+1)</f>
        <v/>
      </c>
      <c r="N20" s="66">
        <f>IF(L20="","",L20-2)</f>
        <v/>
      </c>
      <c r="O20" s="65" t="n"/>
      <c r="P20" s="65" t="n"/>
      <c r="Q20" s="65" t="n"/>
    </row>
    <row r="21">
      <c r="A21" s="65" t="n"/>
      <c r="B21" s="65" t="n"/>
      <c r="C21" s="65" t="n"/>
      <c r="D21" s="65" t="n"/>
      <c r="E21" s="65" t="n"/>
      <c r="F21" s="65" t="n"/>
      <c r="G21" s="65" t="n"/>
      <c r="H21" s="65" t="n"/>
      <c r="I21" s="65" t="n"/>
      <c r="J21" s="65" t="n"/>
      <c r="K21" s="65" t="n"/>
      <c r="L21" s="66" t="n"/>
      <c r="M21" s="65">
        <f>IF(L21="","",INT((L21-Config!$B$9+WEEKDAY(Config!$B$9,2)-1)/7)+1)</f>
        <v/>
      </c>
      <c r="N21" s="66">
        <f>IF(L21="","",L21-2)</f>
        <v/>
      </c>
      <c r="O21" s="65" t="n"/>
      <c r="P21" s="65" t="n"/>
      <c r="Q21" s="65" t="n"/>
    </row>
    <row r="22">
      <c r="A22" s="65" t="n"/>
      <c r="B22" s="65" t="n"/>
      <c r="C22" s="65" t="n"/>
      <c r="D22" s="65" t="n"/>
      <c r="E22" s="65" t="n"/>
      <c r="F22" s="65" t="n"/>
      <c r="G22" s="65" t="n"/>
      <c r="H22" s="65" t="n"/>
      <c r="I22" s="65" t="n"/>
      <c r="J22" s="65" t="n"/>
      <c r="K22" s="65" t="n"/>
      <c r="L22" s="66" t="n"/>
      <c r="M22" s="65">
        <f>IF(L22="","",INT((L22-Config!$B$9+WEEKDAY(Config!$B$9,2)-1)/7)+1)</f>
        <v/>
      </c>
      <c r="N22" s="66">
        <f>IF(L22="","",L22-2)</f>
        <v/>
      </c>
      <c r="O22" s="65" t="n"/>
      <c r="P22" s="65" t="n"/>
      <c r="Q22" s="65" t="n"/>
    </row>
    <row r="23">
      <c r="A23" s="65" t="n"/>
      <c r="B23" s="65" t="n"/>
      <c r="C23" s="65" t="n"/>
      <c r="D23" s="65" t="n"/>
      <c r="E23" s="65" t="n"/>
      <c r="F23" s="65" t="n"/>
      <c r="G23" s="65" t="n"/>
      <c r="H23" s="65" t="n"/>
      <c r="I23" s="65" t="n"/>
      <c r="J23" s="65" t="n"/>
      <c r="K23" s="65" t="n"/>
      <c r="L23" s="66" t="n"/>
      <c r="M23" s="65">
        <f>IF(L23="","",INT((L23-Config!$B$9+WEEKDAY(Config!$B$9,2)-1)/7)+1)</f>
        <v/>
      </c>
      <c r="N23" s="66">
        <f>IF(L23="","",L23-2)</f>
        <v/>
      </c>
      <c r="O23" s="65" t="n"/>
      <c r="P23" s="65" t="n"/>
      <c r="Q23" s="65" t="n"/>
    </row>
    <row r="24">
      <c r="A24" s="65" t="n"/>
      <c r="B24" s="65" t="n"/>
      <c r="C24" s="65" t="n"/>
      <c r="D24" s="65" t="n"/>
      <c r="E24" s="65" t="n"/>
      <c r="F24" s="65" t="n"/>
      <c r="G24" s="65" t="n"/>
      <c r="H24" s="65" t="n"/>
      <c r="I24" s="65" t="n"/>
      <c r="J24" s="65" t="n"/>
      <c r="K24" s="65" t="n"/>
      <c r="L24" s="66" t="n"/>
      <c r="M24" s="65">
        <f>IF(L24="","",INT((L24-Config!$B$9+WEEKDAY(Config!$B$9,2)-1)/7)+1)</f>
        <v/>
      </c>
      <c r="N24" s="66">
        <f>IF(L24="","",L24-2)</f>
        <v/>
      </c>
      <c r="O24" s="65" t="n"/>
      <c r="P24" s="65" t="n"/>
      <c r="Q24" s="65" t="n"/>
    </row>
    <row r="25">
      <c r="A25" s="65" t="n"/>
      <c r="B25" s="65" t="n"/>
      <c r="C25" s="65" t="n"/>
      <c r="D25" s="65" t="n"/>
      <c r="E25" s="65" t="n"/>
      <c r="F25" s="65" t="n"/>
      <c r="G25" s="65" t="n"/>
      <c r="H25" s="65" t="n"/>
      <c r="I25" s="65" t="n"/>
      <c r="J25" s="65" t="n"/>
      <c r="K25" s="65" t="n"/>
      <c r="L25" s="66" t="n"/>
      <c r="M25" s="65">
        <f>IF(L25="","",INT((L25-Config!$B$9+WEEKDAY(Config!$B$9,2)-1)/7)+1)</f>
        <v/>
      </c>
      <c r="N25" s="66">
        <f>IF(L25="","",L25-2)</f>
        <v/>
      </c>
      <c r="O25" s="65" t="n"/>
      <c r="P25" s="65" t="n"/>
      <c r="Q25" s="65" t="n"/>
    </row>
    <row r="26">
      <c r="A26" s="65" t="n"/>
      <c r="B26" s="65" t="n"/>
      <c r="C26" s="65" t="n"/>
      <c r="D26" s="65" t="n"/>
      <c r="E26" s="65" t="n"/>
      <c r="F26" s="65" t="n"/>
      <c r="G26" s="65" t="n"/>
      <c r="H26" s="65" t="n"/>
      <c r="I26" s="65" t="n"/>
      <c r="J26" s="65" t="n"/>
      <c r="K26" s="65" t="n"/>
      <c r="L26" s="66" t="n"/>
      <c r="M26" s="65">
        <f>IF(L26="","",INT((L26-Config!$B$9+WEEKDAY(Config!$B$9,2)-1)/7)+1)</f>
        <v/>
      </c>
      <c r="N26" s="66">
        <f>IF(L26="","",L26-2)</f>
        <v/>
      </c>
      <c r="O26" s="65" t="n"/>
      <c r="P26" s="65" t="n"/>
      <c r="Q26" s="65" t="n"/>
    </row>
    <row r="27">
      <c r="A27" s="65" t="n"/>
      <c r="B27" s="65" t="n"/>
      <c r="C27" s="65" t="n"/>
      <c r="D27" s="65" t="n"/>
      <c r="E27" s="65" t="n"/>
      <c r="F27" s="65" t="n"/>
      <c r="G27" s="65" t="n"/>
      <c r="H27" s="65" t="n"/>
      <c r="I27" s="65" t="n"/>
      <c r="J27" s="65" t="n"/>
      <c r="K27" s="65" t="n"/>
      <c r="L27" s="66" t="n"/>
      <c r="M27" s="65">
        <f>IF(L27="","",INT((L27-Config!$B$9+WEEKDAY(Config!$B$9,2)-1)/7)+1)</f>
        <v/>
      </c>
      <c r="N27" s="66">
        <f>IF(L27="","",L27-2)</f>
        <v/>
      </c>
      <c r="O27" s="65" t="n"/>
      <c r="P27" s="65" t="n"/>
      <c r="Q27" s="65" t="n"/>
    </row>
    <row r="28">
      <c r="A28" s="65" t="n"/>
      <c r="B28" s="65" t="n"/>
      <c r="C28" s="65" t="n"/>
      <c r="D28" s="65" t="n"/>
      <c r="E28" s="65" t="n"/>
      <c r="F28" s="65" t="n"/>
      <c r="G28" s="65" t="n"/>
      <c r="H28" s="65" t="n"/>
      <c r="I28" s="65" t="n"/>
      <c r="J28" s="65" t="n"/>
      <c r="K28" s="65" t="n"/>
      <c r="L28" s="66" t="n"/>
      <c r="M28" s="65">
        <f>IF(L28="","",INT((L28-Config!$B$9+WEEKDAY(Config!$B$9,2)-1)/7)+1)</f>
        <v/>
      </c>
      <c r="N28" s="66">
        <f>IF(L28="","",L28-2)</f>
        <v/>
      </c>
      <c r="O28" s="65" t="n"/>
      <c r="P28" s="65" t="n"/>
      <c r="Q28" s="65" t="n"/>
    </row>
    <row r="29">
      <c r="A29" s="65" t="n"/>
      <c r="B29" s="65" t="n"/>
      <c r="C29" s="65" t="n"/>
      <c r="D29" s="65" t="n"/>
      <c r="E29" s="65" t="n"/>
      <c r="F29" s="65" t="n"/>
      <c r="G29" s="65" t="n"/>
      <c r="H29" s="65" t="n"/>
      <c r="I29" s="65" t="n"/>
      <c r="J29" s="65" t="n"/>
      <c r="K29" s="65" t="n"/>
      <c r="L29" s="66" t="n"/>
      <c r="M29" s="65">
        <f>IF(L29="","",INT((L29-Config!$B$9+WEEKDAY(Config!$B$9,2)-1)/7)+1)</f>
        <v/>
      </c>
      <c r="N29" s="66">
        <f>IF(L29="","",L29-2)</f>
        <v/>
      </c>
      <c r="O29" s="65" t="n"/>
      <c r="P29" s="65" t="n"/>
      <c r="Q29" s="65" t="n"/>
    </row>
    <row r="30">
      <c r="A30" s="65" t="n"/>
      <c r="B30" s="65" t="n"/>
      <c r="C30" s="65" t="n"/>
      <c r="D30" s="65" t="n"/>
      <c r="E30" s="65" t="n"/>
      <c r="F30" s="65" t="n"/>
      <c r="G30" s="65" t="n"/>
      <c r="H30" s="65" t="n"/>
      <c r="I30" s="65" t="n"/>
      <c r="J30" s="65" t="n"/>
      <c r="K30" s="65" t="n"/>
      <c r="L30" s="66" t="n"/>
      <c r="M30" s="65">
        <f>IF(L30="","",INT((L30-Config!$B$9+WEEKDAY(Config!$B$9,2)-1)/7)+1)</f>
        <v/>
      </c>
      <c r="N30" s="66">
        <f>IF(L30="","",L30-2)</f>
        <v/>
      </c>
      <c r="O30" s="65" t="n"/>
      <c r="P30" s="65" t="n"/>
      <c r="Q30" s="65" t="n"/>
    </row>
    <row r="31">
      <c r="A31" s="65" t="n"/>
      <c r="B31" s="65" t="n"/>
      <c r="C31" s="65" t="n"/>
      <c r="D31" s="65" t="n"/>
      <c r="E31" s="65" t="n"/>
      <c r="F31" s="65" t="n"/>
      <c r="G31" s="65" t="n"/>
      <c r="H31" s="65" t="n"/>
      <c r="I31" s="65" t="n"/>
      <c r="J31" s="65" t="n"/>
      <c r="K31" s="65" t="n"/>
      <c r="L31" s="66" t="n"/>
      <c r="M31" s="65">
        <f>IF(L31="","",INT((L31-Config!$B$9+WEEKDAY(Config!$B$9,2)-1)/7)+1)</f>
        <v/>
      </c>
      <c r="N31" s="66">
        <f>IF(L31="","",L31-2)</f>
        <v/>
      </c>
      <c r="O31" s="65" t="n"/>
      <c r="P31" s="65" t="n"/>
      <c r="Q31" s="65" t="n"/>
    </row>
    <row r="32">
      <c r="A32" s="65" t="n"/>
      <c r="B32" s="65" t="n"/>
      <c r="C32" s="65" t="n"/>
      <c r="D32" s="65" t="n"/>
      <c r="E32" s="65" t="n"/>
      <c r="F32" s="65" t="n"/>
      <c r="G32" s="65" t="n"/>
      <c r="H32" s="65" t="n"/>
      <c r="I32" s="65" t="n"/>
      <c r="J32" s="65" t="n"/>
      <c r="K32" s="65" t="n"/>
      <c r="L32" s="66" t="n"/>
      <c r="M32" s="65">
        <f>IF(L32="","",INT((L32-Config!$B$9+WEEKDAY(Config!$B$9,2)-1)/7)+1)</f>
        <v/>
      </c>
      <c r="N32" s="66">
        <f>IF(L32="","",L32-2)</f>
        <v/>
      </c>
      <c r="O32" s="65" t="n"/>
      <c r="P32" s="65" t="n"/>
      <c r="Q32" s="65" t="n"/>
    </row>
    <row r="33">
      <c r="A33" s="65" t="n"/>
      <c r="B33" s="65" t="n"/>
      <c r="C33" s="65" t="n"/>
      <c r="D33" s="65" t="n"/>
      <c r="E33" s="65" t="n"/>
      <c r="F33" s="65" t="n"/>
      <c r="G33" s="65" t="n"/>
      <c r="H33" s="65" t="n"/>
      <c r="I33" s="65" t="n"/>
      <c r="J33" s="65" t="n"/>
      <c r="K33" s="65" t="n"/>
      <c r="L33" s="66" t="n"/>
      <c r="M33" s="65">
        <f>IF(L33="","",INT((L33-Config!$B$9+WEEKDAY(Config!$B$9,2)-1)/7)+1)</f>
        <v/>
      </c>
      <c r="N33" s="66">
        <f>IF(L33="","",L33-2)</f>
        <v/>
      </c>
      <c r="O33" s="65" t="n"/>
      <c r="P33" s="65" t="n"/>
      <c r="Q33" s="65" t="n"/>
    </row>
    <row r="34">
      <c r="A34" s="65" t="n"/>
      <c r="B34" s="65" t="n"/>
      <c r="C34" s="65" t="n"/>
      <c r="D34" s="65" t="n"/>
      <c r="E34" s="65" t="n"/>
      <c r="F34" s="65" t="n"/>
      <c r="G34" s="65" t="n"/>
      <c r="H34" s="65" t="n"/>
      <c r="I34" s="65" t="n"/>
      <c r="J34" s="65" t="n"/>
      <c r="K34" s="65" t="n"/>
      <c r="L34" s="66" t="n"/>
      <c r="M34" s="65">
        <f>IF(L34="","",INT((L34-Config!$B$9+WEEKDAY(Config!$B$9,2)-1)/7)+1)</f>
        <v/>
      </c>
      <c r="N34" s="66">
        <f>IF(L34="","",L34-2)</f>
        <v/>
      </c>
      <c r="O34" s="65" t="n"/>
      <c r="P34" s="65" t="n"/>
      <c r="Q34" s="65" t="n"/>
    </row>
    <row r="35">
      <c r="A35" s="65" t="n"/>
      <c r="B35" s="65" t="n"/>
      <c r="C35" s="65" t="n"/>
      <c r="D35" s="65" t="n"/>
      <c r="E35" s="65" t="n"/>
      <c r="F35" s="65" t="n"/>
      <c r="G35" s="65" t="n"/>
      <c r="H35" s="65" t="n"/>
      <c r="I35" s="65" t="n"/>
      <c r="J35" s="65" t="n"/>
      <c r="K35" s="65" t="n"/>
      <c r="L35" s="66" t="n"/>
      <c r="M35" s="65">
        <f>IF(L35="","",INT((L35-Config!$B$9+WEEKDAY(Config!$B$9,2)-1)/7)+1)</f>
        <v/>
      </c>
      <c r="N35" s="66">
        <f>IF(L35="","",L35-2)</f>
        <v/>
      </c>
      <c r="O35" s="65" t="n"/>
      <c r="P35" s="65" t="n"/>
      <c r="Q35" s="65" t="n"/>
    </row>
    <row r="36">
      <c r="A36" s="65" t="n"/>
      <c r="B36" s="65" t="n"/>
      <c r="C36" s="65" t="n"/>
      <c r="D36" s="65" t="n"/>
      <c r="E36" s="65" t="n"/>
      <c r="F36" s="65" t="n"/>
      <c r="G36" s="65" t="n"/>
      <c r="H36" s="65" t="n"/>
      <c r="I36" s="65" t="n"/>
      <c r="J36" s="65" t="n"/>
      <c r="K36" s="65" t="n"/>
      <c r="L36" s="66" t="n"/>
      <c r="M36" s="65">
        <f>IF(L36="","",INT((L36-Config!$B$9+WEEKDAY(Config!$B$9,2)-1)/7)+1)</f>
        <v/>
      </c>
      <c r="N36" s="66">
        <f>IF(L36="","",L36-2)</f>
        <v/>
      </c>
      <c r="O36" s="65" t="n"/>
      <c r="P36" s="65" t="n"/>
      <c r="Q36" s="65" t="n"/>
    </row>
    <row r="37">
      <c r="A37" s="65" t="n"/>
      <c r="B37" s="65" t="n"/>
      <c r="C37" s="65" t="n"/>
      <c r="D37" s="65" t="n"/>
      <c r="E37" s="65" t="n"/>
      <c r="F37" s="65" t="n"/>
      <c r="G37" s="65" t="n"/>
      <c r="H37" s="65" t="n"/>
      <c r="I37" s="65" t="n"/>
      <c r="J37" s="65" t="n"/>
      <c r="K37" s="65" t="n"/>
      <c r="L37" s="66" t="n"/>
      <c r="M37" s="65">
        <f>IF(L37="","",INT((L37-Config!$B$9+WEEKDAY(Config!$B$9,2)-1)/7)+1)</f>
        <v/>
      </c>
      <c r="N37" s="66">
        <f>IF(L37="","",L37-2)</f>
        <v/>
      </c>
      <c r="O37" s="65" t="n"/>
      <c r="P37" s="65" t="n"/>
      <c r="Q37" s="65" t="n"/>
    </row>
    <row r="38">
      <c r="A38" s="65" t="n"/>
      <c r="B38" s="65" t="n"/>
      <c r="C38" s="65" t="n"/>
      <c r="D38" s="65" t="n"/>
      <c r="E38" s="65" t="n"/>
      <c r="F38" s="65" t="n"/>
      <c r="G38" s="65" t="n"/>
      <c r="H38" s="65" t="n"/>
      <c r="I38" s="65" t="n"/>
      <c r="J38" s="65" t="n"/>
      <c r="K38" s="65" t="n"/>
      <c r="L38" s="66" t="n"/>
      <c r="M38" s="65">
        <f>IF(L38="","",INT((L38-Config!$B$9+WEEKDAY(Config!$B$9,2)-1)/7)+1)</f>
        <v/>
      </c>
      <c r="N38" s="66">
        <f>IF(L38="","",L38-2)</f>
        <v/>
      </c>
      <c r="O38" s="65" t="n"/>
      <c r="P38" s="65" t="n"/>
      <c r="Q38" s="65" t="n"/>
    </row>
    <row r="39">
      <c r="A39" s="65" t="n"/>
      <c r="B39" s="65" t="n"/>
      <c r="C39" s="65" t="n"/>
      <c r="D39" s="65" t="n"/>
      <c r="E39" s="65" t="n"/>
      <c r="F39" s="65" t="n"/>
      <c r="G39" s="65" t="n"/>
      <c r="H39" s="65" t="n"/>
      <c r="I39" s="65" t="n"/>
      <c r="J39" s="65" t="n"/>
      <c r="K39" s="65" t="n"/>
      <c r="L39" s="66" t="n"/>
      <c r="M39" s="65">
        <f>IF(L39="","",INT((L39-Config!$B$9+WEEKDAY(Config!$B$9,2)-1)/7)+1)</f>
        <v/>
      </c>
      <c r="N39" s="66">
        <f>IF(L39="","",L39-2)</f>
        <v/>
      </c>
      <c r="O39" s="65" t="n"/>
      <c r="P39" s="65" t="n"/>
      <c r="Q39" s="65" t="n"/>
    </row>
    <row r="40">
      <c r="A40" s="65" t="n"/>
      <c r="B40" s="65" t="n"/>
      <c r="C40" s="65" t="n"/>
      <c r="D40" s="65" t="n"/>
      <c r="E40" s="65" t="n"/>
      <c r="F40" s="65" t="n"/>
      <c r="G40" s="65" t="n"/>
      <c r="H40" s="65" t="n"/>
      <c r="I40" s="65" t="n"/>
      <c r="J40" s="65" t="n"/>
      <c r="K40" s="65" t="n"/>
      <c r="L40" s="66" t="n"/>
      <c r="M40" s="65">
        <f>IF(L40="","",INT((L40-Config!$B$9+WEEKDAY(Config!$B$9,2)-1)/7)+1)</f>
        <v/>
      </c>
      <c r="N40" s="66">
        <f>IF(L40="","",L40-2)</f>
        <v/>
      </c>
      <c r="O40" s="65" t="n"/>
      <c r="P40" s="65" t="n"/>
      <c r="Q40" s="65" t="n"/>
    </row>
    <row r="41">
      <c r="A41" s="65" t="n"/>
      <c r="B41" s="65" t="n"/>
      <c r="C41" s="65" t="n"/>
      <c r="D41" s="65" t="n"/>
      <c r="E41" s="65" t="n"/>
      <c r="F41" s="65" t="n"/>
      <c r="G41" s="65" t="n"/>
      <c r="H41" s="65" t="n"/>
      <c r="I41" s="65" t="n"/>
      <c r="J41" s="65" t="n"/>
      <c r="K41" s="65" t="n"/>
      <c r="L41" s="66" t="n"/>
      <c r="M41" s="65">
        <f>IF(L41="","",INT((L41-Config!$B$9+WEEKDAY(Config!$B$9,2)-1)/7)+1)</f>
        <v/>
      </c>
      <c r="N41" s="66">
        <f>IF(L41="","",L41-2)</f>
        <v/>
      </c>
      <c r="O41" s="65" t="n"/>
      <c r="P41" s="65" t="n"/>
      <c r="Q41" s="65" t="n"/>
    </row>
    <row r="42">
      <c r="A42" s="65" t="n"/>
      <c r="B42" s="65" t="n"/>
      <c r="C42" s="65" t="n"/>
      <c r="D42" s="65" t="n"/>
      <c r="E42" s="65" t="n"/>
      <c r="F42" s="65" t="n"/>
      <c r="G42" s="65" t="n"/>
      <c r="H42" s="65" t="n"/>
      <c r="I42" s="65" t="n"/>
      <c r="J42" s="65" t="n"/>
      <c r="K42" s="65" t="n"/>
      <c r="L42" s="66" t="n"/>
      <c r="M42" s="65">
        <f>IF(L42="","",INT((L42-Config!$B$9+WEEKDAY(Config!$B$9,2)-1)/7)+1)</f>
        <v/>
      </c>
      <c r="N42" s="66">
        <f>IF(L42="","",L42-2)</f>
        <v/>
      </c>
      <c r="O42" s="65" t="n"/>
      <c r="P42" s="65" t="n"/>
      <c r="Q42" s="65" t="n"/>
    </row>
    <row r="43">
      <c r="A43" s="65" t="n"/>
      <c r="B43" s="65" t="n"/>
      <c r="C43" s="65" t="n"/>
      <c r="D43" s="65" t="n"/>
      <c r="E43" s="65" t="n"/>
      <c r="F43" s="65" t="n"/>
      <c r="G43" s="65" t="n"/>
      <c r="H43" s="65" t="n"/>
      <c r="I43" s="65" t="n"/>
      <c r="J43" s="65" t="n"/>
      <c r="K43" s="65" t="n"/>
      <c r="L43" s="66" t="n"/>
      <c r="M43" s="65">
        <f>IF(L43="","",INT((L43-Config!$B$9+WEEKDAY(Config!$B$9,2)-1)/7)+1)</f>
        <v/>
      </c>
      <c r="N43" s="66">
        <f>IF(L43="","",L43-2)</f>
        <v/>
      </c>
      <c r="O43" s="65" t="n"/>
      <c r="P43" s="65" t="n"/>
      <c r="Q43" s="65" t="n"/>
    </row>
    <row r="44">
      <c r="A44" s="65" t="n"/>
      <c r="B44" s="65" t="n"/>
      <c r="C44" s="65" t="n"/>
      <c r="D44" s="65" t="n"/>
      <c r="E44" s="65" t="n"/>
      <c r="F44" s="65" t="n"/>
      <c r="G44" s="65" t="n"/>
      <c r="H44" s="65" t="n"/>
      <c r="I44" s="65" t="n"/>
      <c r="J44" s="65" t="n"/>
      <c r="K44" s="65" t="n"/>
      <c r="L44" s="66" t="n"/>
      <c r="M44" s="65">
        <f>IF(L44="","",INT((L44-Config!$B$9+WEEKDAY(Config!$B$9,2)-1)/7)+1)</f>
        <v/>
      </c>
      <c r="N44" s="66">
        <f>IF(L44="","",L44-2)</f>
        <v/>
      </c>
      <c r="O44" s="65" t="n"/>
      <c r="P44" s="65" t="n"/>
      <c r="Q44" s="65" t="n"/>
    </row>
    <row r="45">
      <c r="A45" s="65" t="n"/>
      <c r="B45" s="65" t="n"/>
      <c r="C45" s="65" t="n"/>
      <c r="D45" s="65" t="n"/>
      <c r="E45" s="65" t="n"/>
      <c r="F45" s="65" t="n"/>
      <c r="G45" s="65" t="n"/>
      <c r="H45" s="65" t="n"/>
      <c r="I45" s="65" t="n"/>
      <c r="J45" s="65" t="n"/>
      <c r="K45" s="65" t="n"/>
      <c r="L45" s="66" t="n"/>
      <c r="M45" s="65">
        <f>IF(L45="","",INT((L45-Config!$B$9+WEEKDAY(Config!$B$9,2)-1)/7)+1)</f>
        <v/>
      </c>
      <c r="N45" s="66">
        <f>IF(L45="","",L45-2)</f>
        <v/>
      </c>
      <c r="O45" s="65" t="n"/>
      <c r="P45" s="65" t="n"/>
      <c r="Q45" s="65" t="n"/>
    </row>
    <row r="46">
      <c r="A46" s="65" t="n"/>
      <c r="B46" s="65" t="n"/>
      <c r="C46" s="65" t="n"/>
      <c r="D46" s="65" t="n"/>
      <c r="E46" s="65" t="n"/>
      <c r="F46" s="65" t="n"/>
      <c r="G46" s="65" t="n"/>
      <c r="H46" s="65" t="n"/>
      <c r="I46" s="65" t="n"/>
      <c r="J46" s="65" t="n"/>
      <c r="K46" s="65" t="n"/>
      <c r="L46" s="66" t="n"/>
      <c r="M46" s="65">
        <f>IF(L46="","",INT((L46-Config!$B$9+WEEKDAY(Config!$B$9,2)-1)/7)+1)</f>
        <v/>
      </c>
      <c r="N46" s="66">
        <f>IF(L46="","",L46-2)</f>
        <v/>
      </c>
      <c r="O46" s="65" t="n"/>
      <c r="P46" s="65" t="n"/>
      <c r="Q46" s="65" t="n"/>
    </row>
    <row r="47">
      <c r="A47" s="65" t="n"/>
      <c r="B47" s="65" t="n"/>
      <c r="C47" s="65" t="n"/>
      <c r="D47" s="65" t="n"/>
      <c r="E47" s="65" t="n"/>
      <c r="F47" s="65" t="n"/>
      <c r="G47" s="65" t="n"/>
      <c r="H47" s="65" t="n"/>
      <c r="I47" s="65" t="n"/>
      <c r="J47" s="65" t="n"/>
      <c r="K47" s="65" t="n"/>
      <c r="L47" s="66" t="n"/>
      <c r="M47" s="65">
        <f>IF(L47="","",INT((L47-Config!$B$9+WEEKDAY(Config!$B$9,2)-1)/7)+1)</f>
        <v/>
      </c>
      <c r="N47" s="66">
        <f>IF(L47="","",L47-2)</f>
        <v/>
      </c>
      <c r="O47" s="65" t="n"/>
      <c r="P47" s="65" t="n"/>
      <c r="Q47" s="65" t="n"/>
    </row>
    <row r="48">
      <c r="A48" s="65" t="n"/>
      <c r="B48" s="65" t="n"/>
      <c r="C48" s="65" t="n"/>
      <c r="D48" s="65" t="n"/>
      <c r="E48" s="65" t="n"/>
      <c r="F48" s="65" t="n"/>
      <c r="G48" s="65" t="n"/>
      <c r="H48" s="65" t="n"/>
      <c r="I48" s="65" t="n"/>
      <c r="J48" s="65" t="n"/>
      <c r="K48" s="65" t="n"/>
      <c r="L48" s="66" t="n"/>
      <c r="M48" s="65">
        <f>IF(L48="","",INT((L48-Config!$B$9+WEEKDAY(Config!$B$9,2)-1)/7)+1)</f>
        <v/>
      </c>
      <c r="N48" s="66">
        <f>IF(L48="","",L48-2)</f>
        <v/>
      </c>
      <c r="O48" s="65" t="n"/>
      <c r="P48" s="65" t="n"/>
      <c r="Q48" s="65" t="n"/>
    </row>
    <row r="49">
      <c r="A49" s="65" t="n"/>
      <c r="B49" s="65" t="n"/>
      <c r="C49" s="65" t="n"/>
      <c r="D49" s="65" t="n"/>
      <c r="E49" s="65" t="n"/>
      <c r="F49" s="65" t="n"/>
      <c r="G49" s="65" t="n"/>
      <c r="H49" s="65" t="n"/>
      <c r="I49" s="65" t="n"/>
      <c r="J49" s="65" t="n"/>
      <c r="K49" s="65" t="n"/>
      <c r="L49" s="66" t="n"/>
      <c r="M49" s="65">
        <f>IF(L49="","",INT((L49-Config!$B$9+WEEKDAY(Config!$B$9,2)-1)/7)+1)</f>
        <v/>
      </c>
      <c r="N49" s="66">
        <f>IF(L49="","",L49-2)</f>
        <v/>
      </c>
      <c r="O49" s="65" t="n"/>
      <c r="P49" s="65" t="n"/>
      <c r="Q49" s="65" t="n"/>
    </row>
    <row r="50">
      <c r="A50" s="65" t="n"/>
      <c r="B50" s="65" t="n"/>
      <c r="C50" s="65" t="n"/>
      <c r="D50" s="65" t="n"/>
      <c r="E50" s="65" t="n"/>
      <c r="F50" s="65" t="n"/>
      <c r="G50" s="65" t="n"/>
      <c r="H50" s="65" t="n"/>
      <c r="I50" s="65" t="n"/>
      <c r="J50" s="65" t="n"/>
      <c r="K50" s="65" t="n"/>
      <c r="L50" s="66" t="n"/>
      <c r="M50" s="65">
        <f>IF(L50="","",INT((L50-Config!$B$9+WEEKDAY(Config!$B$9,2)-1)/7)+1)</f>
        <v/>
      </c>
      <c r="N50" s="66">
        <f>IF(L50="","",L50-2)</f>
        <v/>
      </c>
      <c r="O50" s="65" t="n"/>
      <c r="P50" s="65" t="n"/>
      <c r="Q50" s="65" t="n"/>
    </row>
    <row r="51">
      <c r="A51" s="65" t="n"/>
      <c r="B51" s="65" t="n"/>
      <c r="C51" s="65" t="n"/>
      <c r="D51" s="65" t="n"/>
      <c r="E51" s="65" t="n"/>
      <c r="F51" s="65" t="n"/>
      <c r="G51" s="65" t="n"/>
      <c r="H51" s="65" t="n"/>
      <c r="I51" s="65" t="n"/>
      <c r="J51" s="65" t="n"/>
      <c r="K51" s="65" t="n"/>
      <c r="L51" s="66" t="n"/>
      <c r="M51" s="65">
        <f>IF(L51="","",INT((L51-Config!$B$9+WEEKDAY(Config!$B$9,2)-1)/7)+1)</f>
        <v/>
      </c>
      <c r="N51" s="66">
        <f>IF(L51="","",L51-2)</f>
        <v/>
      </c>
      <c r="O51" s="65" t="n"/>
      <c r="P51" s="65" t="n"/>
      <c r="Q51" s="65" t="n"/>
    </row>
    <row r="52">
      <c r="A52" s="65" t="n"/>
      <c r="B52" s="65" t="n"/>
      <c r="C52" s="65" t="n"/>
      <c r="D52" s="65" t="n"/>
      <c r="E52" s="65" t="n"/>
      <c r="F52" s="65" t="n"/>
      <c r="G52" s="65" t="n"/>
      <c r="H52" s="65" t="n"/>
      <c r="I52" s="65" t="n"/>
      <c r="J52" s="65" t="n"/>
      <c r="K52" s="65" t="n"/>
      <c r="L52" s="66" t="n"/>
      <c r="M52" s="65">
        <f>IF(L52="","",INT((L52-Config!$B$9+WEEKDAY(Config!$B$9,2)-1)/7)+1)</f>
        <v/>
      </c>
      <c r="N52" s="66">
        <f>IF(L52="","",L52-2)</f>
        <v/>
      </c>
      <c r="O52" s="65" t="n"/>
      <c r="P52" s="65" t="n"/>
      <c r="Q52" s="65" t="n"/>
    </row>
    <row r="53">
      <c r="A53" s="65" t="n"/>
      <c r="B53" s="65" t="n"/>
      <c r="C53" s="65" t="n"/>
      <c r="D53" s="65" t="n"/>
      <c r="E53" s="65" t="n"/>
      <c r="F53" s="65" t="n"/>
      <c r="G53" s="65" t="n"/>
      <c r="H53" s="65" t="n"/>
      <c r="I53" s="65" t="n"/>
      <c r="J53" s="65" t="n"/>
      <c r="K53" s="65" t="n"/>
      <c r="L53" s="66" t="n"/>
      <c r="M53" s="65">
        <f>IF(L53="","",INT((L53-Config!$B$9+WEEKDAY(Config!$B$9,2)-1)/7)+1)</f>
        <v/>
      </c>
      <c r="N53" s="66">
        <f>IF(L53="","",L53-2)</f>
        <v/>
      </c>
      <c r="O53" s="65" t="n"/>
      <c r="P53" s="65" t="n"/>
      <c r="Q53" s="65" t="n"/>
    </row>
    <row r="54">
      <c r="A54" s="65" t="n"/>
      <c r="B54" s="65" t="n"/>
      <c r="C54" s="65" t="n"/>
      <c r="D54" s="65" t="n"/>
      <c r="E54" s="65" t="n"/>
      <c r="F54" s="65" t="n"/>
      <c r="G54" s="65" t="n"/>
      <c r="H54" s="65" t="n"/>
      <c r="I54" s="65" t="n"/>
      <c r="J54" s="65" t="n"/>
      <c r="K54" s="65" t="n"/>
      <c r="L54" s="66" t="n"/>
      <c r="M54" s="65">
        <f>IF(L54="","",INT((L54-Config!$B$9+WEEKDAY(Config!$B$9,2)-1)/7)+1)</f>
        <v/>
      </c>
      <c r="N54" s="66">
        <f>IF(L54="","",L54-2)</f>
        <v/>
      </c>
      <c r="O54" s="65" t="n"/>
      <c r="P54" s="65" t="n"/>
      <c r="Q54" s="65" t="n"/>
    </row>
    <row r="55">
      <c r="A55" s="65" t="n"/>
      <c r="B55" s="65" t="n"/>
      <c r="C55" s="65" t="n"/>
      <c r="D55" s="65" t="n"/>
      <c r="E55" s="65" t="n"/>
      <c r="F55" s="65" t="n"/>
      <c r="G55" s="65" t="n"/>
      <c r="H55" s="65" t="n"/>
      <c r="I55" s="65" t="n"/>
      <c r="J55" s="65" t="n"/>
      <c r="K55" s="65" t="n"/>
      <c r="L55" s="66" t="n"/>
      <c r="M55" s="65">
        <f>IF(L55="","",INT((L55-Config!$B$9+WEEKDAY(Config!$B$9,2)-1)/7)+1)</f>
        <v/>
      </c>
      <c r="N55" s="66">
        <f>IF(L55="","",L55-2)</f>
        <v/>
      </c>
      <c r="O55" s="65" t="n"/>
      <c r="P55" s="65" t="n"/>
      <c r="Q55" s="65" t="n"/>
    </row>
    <row r="56">
      <c r="A56" s="65" t="n"/>
      <c r="B56" s="65" t="n"/>
      <c r="C56" s="65" t="n"/>
      <c r="D56" s="65" t="n"/>
      <c r="E56" s="65" t="n"/>
      <c r="F56" s="65" t="n"/>
      <c r="G56" s="65" t="n"/>
      <c r="H56" s="65" t="n"/>
      <c r="I56" s="65" t="n"/>
      <c r="J56" s="65" t="n"/>
      <c r="K56" s="65" t="n"/>
      <c r="L56" s="66" t="n"/>
      <c r="M56" s="65">
        <f>IF(L56="","",INT((L56-Config!$B$9+WEEKDAY(Config!$B$9,2)-1)/7)+1)</f>
        <v/>
      </c>
      <c r="N56" s="66">
        <f>IF(L56="","",L56-2)</f>
        <v/>
      </c>
      <c r="O56" s="65" t="n"/>
      <c r="P56" s="65" t="n"/>
      <c r="Q56" s="65" t="n"/>
    </row>
    <row r="57">
      <c r="A57" s="65" t="n"/>
      <c r="B57" s="65" t="n"/>
      <c r="C57" s="65" t="n"/>
      <c r="D57" s="65" t="n"/>
      <c r="E57" s="65" t="n"/>
      <c r="F57" s="65" t="n"/>
      <c r="G57" s="65" t="n"/>
      <c r="H57" s="65" t="n"/>
      <c r="I57" s="65" t="n"/>
      <c r="J57" s="65" t="n"/>
      <c r="K57" s="65" t="n"/>
      <c r="L57" s="66" t="n"/>
      <c r="M57" s="65">
        <f>IF(L57="","",INT((L57-Config!$B$9+WEEKDAY(Config!$B$9,2)-1)/7)+1)</f>
        <v/>
      </c>
      <c r="N57" s="66">
        <f>IF(L57="","",L57-2)</f>
        <v/>
      </c>
      <c r="O57" s="65" t="n"/>
      <c r="P57" s="65" t="n"/>
      <c r="Q57" s="65" t="n"/>
    </row>
    <row r="58">
      <c r="A58" s="65" t="n"/>
      <c r="B58" s="65" t="n"/>
      <c r="C58" s="65" t="n"/>
      <c r="D58" s="65" t="n"/>
      <c r="E58" s="65" t="n"/>
      <c r="F58" s="65" t="n"/>
      <c r="G58" s="65" t="n"/>
      <c r="H58" s="65" t="n"/>
      <c r="I58" s="65" t="n"/>
      <c r="J58" s="65" t="n"/>
      <c r="K58" s="65" t="n"/>
      <c r="L58" s="66" t="n"/>
      <c r="M58" s="65">
        <f>IF(L58="","",INT((L58-Config!$B$9+WEEKDAY(Config!$B$9,2)-1)/7)+1)</f>
        <v/>
      </c>
      <c r="N58" s="66">
        <f>IF(L58="","",L58-2)</f>
        <v/>
      </c>
      <c r="O58" s="65" t="n"/>
      <c r="P58" s="65" t="n"/>
      <c r="Q58" s="65" t="n"/>
    </row>
    <row r="59">
      <c r="A59" s="65" t="n"/>
      <c r="B59" s="65" t="n"/>
      <c r="C59" s="65" t="n"/>
      <c r="D59" s="65" t="n"/>
      <c r="E59" s="65" t="n"/>
      <c r="F59" s="65" t="n"/>
      <c r="G59" s="65" t="n"/>
      <c r="H59" s="65" t="n"/>
      <c r="I59" s="65" t="n"/>
      <c r="J59" s="65" t="n"/>
      <c r="K59" s="65" t="n"/>
      <c r="L59" s="66" t="n"/>
      <c r="M59" s="65">
        <f>IF(L59="","",INT((L59-Config!$B$9+WEEKDAY(Config!$B$9,2)-1)/7)+1)</f>
        <v/>
      </c>
      <c r="N59" s="66">
        <f>IF(L59="","",L59-2)</f>
        <v/>
      </c>
      <c r="O59" s="65" t="n"/>
      <c r="P59" s="65" t="n"/>
      <c r="Q59" s="65" t="n"/>
    </row>
    <row r="60">
      <c r="A60" s="65" t="n"/>
      <c r="B60" s="65" t="n"/>
      <c r="C60" s="65" t="n"/>
      <c r="D60" s="65" t="n"/>
      <c r="E60" s="65" t="n"/>
      <c r="F60" s="65" t="n"/>
      <c r="G60" s="65" t="n"/>
      <c r="H60" s="65" t="n"/>
      <c r="I60" s="65" t="n"/>
      <c r="J60" s="65" t="n"/>
      <c r="K60" s="65" t="n"/>
      <c r="L60" s="66" t="n"/>
      <c r="M60" s="65">
        <f>IF(L60="","",INT((L60-Config!$B$9+WEEKDAY(Config!$B$9,2)-1)/7)+1)</f>
        <v/>
      </c>
      <c r="N60" s="66">
        <f>IF(L60="","",L60-2)</f>
        <v/>
      </c>
      <c r="O60" s="65" t="n"/>
      <c r="P60" s="65" t="n"/>
      <c r="Q60" s="65" t="n"/>
    </row>
    <row r="61">
      <c r="A61" s="65" t="n"/>
      <c r="B61" s="65" t="n"/>
      <c r="C61" s="65" t="n"/>
      <c r="D61" s="65" t="n"/>
      <c r="E61" s="65" t="n"/>
      <c r="F61" s="65" t="n"/>
      <c r="G61" s="65" t="n"/>
      <c r="H61" s="65" t="n"/>
      <c r="I61" s="65" t="n"/>
      <c r="J61" s="65" t="n"/>
      <c r="K61" s="65" t="n"/>
      <c r="L61" s="66" t="n"/>
      <c r="M61" s="65">
        <f>IF(L61="","",INT((L61-Config!$B$9+WEEKDAY(Config!$B$9,2)-1)/7)+1)</f>
        <v/>
      </c>
      <c r="N61" s="66">
        <f>IF(L61="","",L61-2)</f>
        <v/>
      </c>
      <c r="O61" s="65" t="n"/>
      <c r="P61" s="65" t="n"/>
      <c r="Q61" s="65" t="n"/>
    </row>
    <row r="62">
      <c r="A62" s="65" t="n"/>
      <c r="B62" s="65" t="n"/>
      <c r="C62" s="65" t="n"/>
      <c r="D62" s="65" t="n"/>
      <c r="E62" s="65" t="n"/>
      <c r="F62" s="65" t="n"/>
      <c r="G62" s="65" t="n"/>
      <c r="H62" s="65" t="n"/>
      <c r="I62" s="65" t="n"/>
      <c r="J62" s="65" t="n"/>
      <c r="K62" s="65" t="n"/>
      <c r="L62" s="66" t="n"/>
      <c r="M62" s="65">
        <f>IF(L62="","",INT((L62-Config!$B$9+WEEKDAY(Config!$B$9,2)-1)/7)+1)</f>
        <v/>
      </c>
      <c r="N62" s="66">
        <f>IF(L62="","",L62-2)</f>
        <v/>
      </c>
      <c r="O62" s="65" t="n"/>
      <c r="P62" s="65" t="n"/>
      <c r="Q62" s="65" t="n"/>
    </row>
    <row r="63">
      <c r="A63" s="65" t="n"/>
      <c r="B63" s="65" t="n"/>
      <c r="C63" s="65" t="n"/>
      <c r="D63" s="65" t="n"/>
      <c r="E63" s="65" t="n"/>
      <c r="F63" s="65" t="n"/>
      <c r="G63" s="65" t="n"/>
      <c r="H63" s="65" t="n"/>
      <c r="I63" s="65" t="n"/>
      <c r="J63" s="65" t="n"/>
      <c r="K63" s="65" t="n"/>
      <c r="L63" s="66" t="n"/>
      <c r="M63" s="65">
        <f>IF(L63="","",INT((L63-Config!$B$9+WEEKDAY(Config!$B$9,2)-1)/7)+1)</f>
        <v/>
      </c>
      <c r="N63" s="66">
        <f>IF(L63="","",L63-2)</f>
        <v/>
      </c>
      <c r="O63" s="65" t="n"/>
      <c r="P63" s="65" t="n"/>
      <c r="Q63" s="65" t="n"/>
    </row>
    <row r="64">
      <c r="A64" s="65" t="n"/>
      <c r="B64" s="65" t="n"/>
      <c r="C64" s="65" t="n"/>
      <c r="D64" s="65" t="n"/>
      <c r="E64" s="65" t="n"/>
      <c r="F64" s="65" t="n"/>
      <c r="G64" s="65" t="n"/>
      <c r="H64" s="65" t="n"/>
      <c r="I64" s="65" t="n"/>
      <c r="J64" s="65" t="n"/>
      <c r="K64" s="65" t="n"/>
      <c r="L64" s="66" t="n"/>
      <c r="M64" s="65">
        <f>IF(L64="","",INT((L64-Config!$B$9+WEEKDAY(Config!$B$9,2)-1)/7)+1)</f>
        <v/>
      </c>
      <c r="N64" s="66">
        <f>IF(L64="","",L64-2)</f>
        <v/>
      </c>
      <c r="O64" s="65" t="n"/>
      <c r="P64" s="65" t="n"/>
      <c r="Q64" s="65" t="n"/>
    </row>
    <row r="65">
      <c r="A65" s="65" t="n"/>
      <c r="B65" s="65" t="n"/>
      <c r="C65" s="65" t="n"/>
      <c r="D65" s="65" t="n"/>
      <c r="E65" s="65" t="n"/>
      <c r="F65" s="65" t="n"/>
      <c r="G65" s="65" t="n"/>
      <c r="H65" s="65" t="n"/>
      <c r="I65" s="65" t="n"/>
      <c r="J65" s="65" t="n"/>
      <c r="K65" s="65" t="n"/>
      <c r="L65" s="66" t="n"/>
      <c r="M65" s="65">
        <f>IF(L65="","",INT((L65-Config!$B$9+WEEKDAY(Config!$B$9,2)-1)/7)+1)</f>
        <v/>
      </c>
      <c r="N65" s="66">
        <f>IF(L65="","",L65-2)</f>
        <v/>
      </c>
      <c r="O65" s="65" t="n"/>
      <c r="P65" s="65" t="n"/>
      <c r="Q65" s="65" t="n"/>
    </row>
    <row r="66">
      <c r="A66" s="65" t="n"/>
      <c r="B66" s="65" t="n"/>
      <c r="C66" s="65" t="n"/>
      <c r="D66" s="65" t="n"/>
      <c r="E66" s="65" t="n"/>
      <c r="F66" s="65" t="n"/>
      <c r="G66" s="65" t="n"/>
      <c r="H66" s="65" t="n"/>
      <c r="I66" s="65" t="n"/>
      <c r="J66" s="65" t="n"/>
      <c r="K66" s="65" t="n"/>
      <c r="L66" s="66" t="n"/>
      <c r="M66" s="65">
        <f>IF(L66="","",INT((L66-Config!$B$9+WEEKDAY(Config!$B$9,2)-1)/7)+1)</f>
        <v/>
      </c>
      <c r="N66" s="66">
        <f>IF(L66="","",L66-2)</f>
        <v/>
      </c>
      <c r="O66" s="65" t="n"/>
      <c r="P66" s="65" t="n"/>
      <c r="Q66" s="65" t="n"/>
    </row>
    <row r="67">
      <c r="A67" s="65" t="n"/>
      <c r="B67" s="65" t="n"/>
      <c r="C67" s="65" t="n"/>
      <c r="D67" s="65" t="n"/>
      <c r="E67" s="65" t="n"/>
      <c r="F67" s="65" t="n"/>
      <c r="G67" s="65" t="n"/>
      <c r="H67" s="65" t="n"/>
      <c r="I67" s="65" t="n"/>
      <c r="J67" s="65" t="n"/>
      <c r="K67" s="65" t="n"/>
      <c r="L67" s="66" t="n"/>
      <c r="M67" s="65">
        <f>IF(L67="","",INT((L67-Config!$B$9+WEEKDAY(Config!$B$9,2)-1)/7)+1)</f>
        <v/>
      </c>
      <c r="N67" s="66">
        <f>IF(L67="","",L67-2)</f>
        <v/>
      </c>
      <c r="O67" s="65" t="n"/>
      <c r="P67" s="65" t="n"/>
      <c r="Q67" s="65" t="n"/>
    </row>
    <row r="68">
      <c r="A68" s="65" t="n"/>
      <c r="B68" s="65" t="n"/>
      <c r="C68" s="65" t="n"/>
      <c r="D68" s="65" t="n"/>
      <c r="E68" s="65" t="n"/>
      <c r="F68" s="65" t="n"/>
      <c r="G68" s="65" t="n"/>
      <c r="H68" s="65" t="n"/>
      <c r="I68" s="65" t="n"/>
      <c r="J68" s="65" t="n"/>
      <c r="K68" s="65" t="n"/>
      <c r="L68" s="66" t="n"/>
      <c r="M68" s="65">
        <f>IF(L68="","",INT((L68-Config!$B$9+WEEKDAY(Config!$B$9,2)-1)/7)+1)</f>
        <v/>
      </c>
      <c r="N68" s="66">
        <f>IF(L68="","",L68-2)</f>
        <v/>
      </c>
      <c r="O68" s="65" t="n"/>
      <c r="P68" s="65" t="n"/>
      <c r="Q68" s="65" t="n"/>
    </row>
    <row r="69">
      <c r="A69" s="65" t="n"/>
      <c r="B69" s="65" t="n"/>
      <c r="C69" s="65" t="n"/>
      <c r="D69" s="65" t="n"/>
      <c r="E69" s="65" t="n"/>
      <c r="F69" s="65" t="n"/>
      <c r="G69" s="65" t="n"/>
      <c r="H69" s="65" t="n"/>
      <c r="I69" s="65" t="n"/>
      <c r="J69" s="65" t="n"/>
      <c r="K69" s="65" t="n"/>
      <c r="L69" s="66" t="n"/>
      <c r="M69" s="65">
        <f>IF(L69="","",INT((L69-Config!$B$9+WEEKDAY(Config!$B$9,2)-1)/7)+1)</f>
        <v/>
      </c>
      <c r="N69" s="66">
        <f>IF(L69="","",L69-2)</f>
        <v/>
      </c>
      <c r="O69" s="65" t="n"/>
      <c r="P69" s="65" t="n"/>
      <c r="Q69" s="65" t="n"/>
    </row>
    <row r="70">
      <c r="A70" s="65" t="n"/>
      <c r="B70" s="65" t="n"/>
      <c r="C70" s="65" t="n"/>
      <c r="D70" s="65" t="n"/>
      <c r="E70" s="65" t="n"/>
      <c r="F70" s="65" t="n"/>
      <c r="G70" s="65" t="n"/>
      <c r="H70" s="65" t="n"/>
      <c r="I70" s="65" t="n"/>
      <c r="J70" s="65" t="n"/>
      <c r="K70" s="65" t="n"/>
      <c r="L70" s="66" t="n"/>
      <c r="M70" s="65">
        <f>IF(L70="","",INT((L70-Config!$B$9+WEEKDAY(Config!$B$9,2)-1)/7)+1)</f>
        <v/>
      </c>
      <c r="N70" s="66">
        <f>IF(L70="","",L70-2)</f>
        <v/>
      </c>
      <c r="O70" s="65" t="n"/>
      <c r="P70" s="65" t="n"/>
      <c r="Q70" s="65" t="n"/>
    </row>
    <row r="71">
      <c r="A71" s="65" t="n"/>
      <c r="B71" s="65" t="n"/>
      <c r="C71" s="65" t="n"/>
      <c r="D71" s="65" t="n"/>
      <c r="E71" s="65" t="n"/>
      <c r="F71" s="65" t="n"/>
      <c r="G71" s="65" t="n"/>
      <c r="H71" s="65" t="n"/>
      <c r="I71" s="65" t="n"/>
      <c r="J71" s="65" t="n"/>
      <c r="K71" s="65" t="n"/>
      <c r="L71" s="66" t="n"/>
      <c r="M71" s="65">
        <f>IF(L71="","",INT((L71-Config!$B$9+WEEKDAY(Config!$B$9,2)-1)/7)+1)</f>
        <v/>
      </c>
      <c r="N71" s="66">
        <f>IF(L71="","",L71-2)</f>
        <v/>
      </c>
      <c r="O71" s="65" t="n"/>
      <c r="P71" s="65" t="n"/>
      <c r="Q71" s="65" t="n"/>
    </row>
    <row r="72">
      <c r="A72" s="65" t="n"/>
      <c r="B72" s="65" t="n"/>
      <c r="C72" s="65" t="n"/>
      <c r="D72" s="65" t="n"/>
      <c r="E72" s="65" t="n"/>
      <c r="F72" s="65" t="n"/>
      <c r="G72" s="65" t="n"/>
      <c r="H72" s="65" t="n"/>
      <c r="I72" s="65" t="n"/>
      <c r="J72" s="65" t="n"/>
      <c r="K72" s="65" t="n"/>
      <c r="L72" s="66" t="n"/>
      <c r="M72" s="65">
        <f>IF(L72="","",INT((L72-Config!$B$9+WEEKDAY(Config!$B$9,2)-1)/7)+1)</f>
        <v/>
      </c>
      <c r="N72" s="66">
        <f>IF(L72="","",L72-2)</f>
        <v/>
      </c>
      <c r="O72" s="65" t="n"/>
      <c r="P72" s="65" t="n"/>
      <c r="Q72" s="65" t="n"/>
    </row>
    <row r="73">
      <c r="A73" s="65" t="n"/>
      <c r="B73" s="65" t="n"/>
      <c r="C73" s="65" t="n"/>
      <c r="D73" s="65" t="n"/>
      <c r="E73" s="65" t="n"/>
      <c r="F73" s="65" t="n"/>
      <c r="G73" s="65" t="n"/>
      <c r="H73" s="65" t="n"/>
      <c r="I73" s="65" t="n"/>
      <c r="J73" s="65" t="n"/>
      <c r="K73" s="65" t="n"/>
      <c r="L73" s="66" t="n"/>
      <c r="M73" s="65">
        <f>IF(L73="","",INT((L73-Config!$B$9+WEEKDAY(Config!$B$9,2)-1)/7)+1)</f>
        <v/>
      </c>
      <c r="N73" s="66">
        <f>IF(L73="","",L73-2)</f>
        <v/>
      </c>
      <c r="O73" s="65" t="n"/>
      <c r="P73" s="65" t="n"/>
      <c r="Q73" s="65" t="n"/>
    </row>
    <row r="74">
      <c r="A74" s="65" t="n"/>
      <c r="B74" s="65" t="n"/>
      <c r="C74" s="65" t="n"/>
      <c r="D74" s="65" t="n"/>
      <c r="E74" s="65" t="n"/>
      <c r="F74" s="65" t="n"/>
      <c r="G74" s="65" t="n"/>
      <c r="H74" s="65" t="n"/>
      <c r="I74" s="65" t="n"/>
      <c r="J74" s="65" t="n"/>
      <c r="K74" s="65" t="n"/>
      <c r="L74" s="66" t="n"/>
      <c r="M74" s="65">
        <f>IF(L74="","",INT((L74-Config!$B$9+WEEKDAY(Config!$B$9,2)-1)/7)+1)</f>
        <v/>
      </c>
      <c r="N74" s="66">
        <f>IF(L74="","",L74-2)</f>
        <v/>
      </c>
      <c r="O74" s="65" t="n"/>
      <c r="P74" s="65" t="n"/>
      <c r="Q74" s="65" t="n"/>
    </row>
    <row r="75">
      <c r="A75" s="65" t="n"/>
      <c r="B75" s="65" t="n"/>
      <c r="C75" s="65" t="n"/>
      <c r="D75" s="65" t="n"/>
      <c r="E75" s="65" t="n"/>
      <c r="F75" s="65" t="n"/>
      <c r="G75" s="65" t="n"/>
      <c r="H75" s="65" t="n"/>
      <c r="I75" s="65" t="n"/>
      <c r="J75" s="65" t="n"/>
      <c r="K75" s="65" t="n"/>
      <c r="L75" s="66" t="n"/>
      <c r="M75" s="65">
        <f>IF(L75="","",INT((L75-Config!$B$9+WEEKDAY(Config!$B$9,2)-1)/7)+1)</f>
        <v/>
      </c>
      <c r="N75" s="66">
        <f>IF(L75="","",L75-2)</f>
        <v/>
      </c>
      <c r="O75" s="65" t="n"/>
      <c r="P75" s="65" t="n"/>
      <c r="Q75" s="65" t="n"/>
    </row>
    <row r="76">
      <c r="A76" s="65" t="n"/>
      <c r="B76" s="65" t="n"/>
      <c r="C76" s="65" t="n"/>
      <c r="D76" s="65" t="n"/>
      <c r="E76" s="65" t="n"/>
      <c r="F76" s="65" t="n"/>
      <c r="G76" s="65" t="n"/>
      <c r="H76" s="65" t="n"/>
      <c r="I76" s="65" t="n"/>
      <c r="J76" s="65" t="n"/>
      <c r="K76" s="65" t="n"/>
      <c r="L76" s="66" t="n"/>
      <c r="M76" s="65">
        <f>IF(L76="","",INT((L76-Config!$B$9+WEEKDAY(Config!$B$9,2)-1)/7)+1)</f>
        <v/>
      </c>
      <c r="N76" s="66">
        <f>IF(L76="","",L76-2)</f>
        <v/>
      </c>
      <c r="O76" s="65" t="n"/>
      <c r="P76" s="65" t="n"/>
      <c r="Q76" s="65" t="n"/>
    </row>
    <row r="77">
      <c r="A77" s="65" t="n"/>
      <c r="B77" s="65" t="n"/>
      <c r="C77" s="65" t="n"/>
      <c r="D77" s="65" t="n"/>
      <c r="E77" s="65" t="n"/>
      <c r="F77" s="65" t="n"/>
      <c r="G77" s="65" t="n"/>
      <c r="H77" s="65" t="n"/>
      <c r="I77" s="65" t="n"/>
      <c r="J77" s="65" t="n"/>
      <c r="K77" s="65" t="n"/>
      <c r="L77" s="66" t="n"/>
      <c r="M77" s="65">
        <f>IF(L77="","",INT((L77-Config!$B$9+WEEKDAY(Config!$B$9,2)-1)/7)+1)</f>
        <v/>
      </c>
      <c r="N77" s="66">
        <f>IF(L77="","",L77-2)</f>
        <v/>
      </c>
      <c r="O77" s="65" t="n"/>
      <c r="P77" s="65" t="n"/>
      <c r="Q77" s="65" t="n"/>
    </row>
    <row r="78">
      <c r="A78" s="65" t="n"/>
      <c r="B78" s="65" t="n"/>
      <c r="C78" s="65" t="n"/>
      <c r="D78" s="65" t="n"/>
      <c r="E78" s="65" t="n"/>
      <c r="F78" s="65" t="n"/>
      <c r="G78" s="65" t="n"/>
      <c r="H78" s="65" t="n"/>
      <c r="I78" s="65" t="n"/>
      <c r="J78" s="65" t="n"/>
      <c r="K78" s="65" t="n"/>
      <c r="L78" s="66" t="n"/>
      <c r="M78" s="65">
        <f>IF(L78="","",INT((L78-Config!$B$9+WEEKDAY(Config!$B$9,2)-1)/7)+1)</f>
        <v/>
      </c>
      <c r="N78" s="66">
        <f>IF(L78="","",L78-2)</f>
        <v/>
      </c>
      <c r="O78" s="65" t="n"/>
      <c r="P78" s="65" t="n"/>
      <c r="Q78" s="65" t="n"/>
    </row>
    <row r="79">
      <c r="A79" s="65" t="n"/>
      <c r="B79" s="65" t="n"/>
      <c r="C79" s="65" t="n"/>
      <c r="D79" s="65" t="n"/>
      <c r="E79" s="65" t="n"/>
      <c r="F79" s="65" t="n"/>
      <c r="G79" s="65" t="n"/>
      <c r="H79" s="65" t="n"/>
      <c r="I79" s="65" t="n"/>
      <c r="J79" s="65" t="n"/>
      <c r="K79" s="65" t="n"/>
      <c r="L79" s="66" t="n"/>
      <c r="M79" s="65">
        <f>IF(L79="","",INT((L79-Config!$B$9+WEEKDAY(Config!$B$9,2)-1)/7)+1)</f>
        <v/>
      </c>
      <c r="N79" s="66">
        <f>IF(L79="","",L79-2)</f>
        <v/>
      </c>
      <c r="O79" s="65" t="n"/>
      <c r="P79" s="65" t="n"/>
      <c r="Q79" s="65" t="n"/>
    </row>
    <row r="80">
      <c r="A80" s="65" t="n"/>
      <c r="B80" s="65" t="n"/>
      <c r="C80" s="65" t="n"/>
      <c r="D80" s="65" t="n"/>
      <c r="E80" s="65" t="n"/>
      <c r="F80" s="65" t="n"/>
      <c r="G80" s="65" t="n"/>
      <c r="H80" s="65" t="n"/>
      <c r="I80" s="65" t="n"/>
      <c r="J80" s="65" t="n"/>
      <c r="K80" s="65" t="n"/>
      <c r="L80" s="66" t="n"/>
      <c r="M80" s="65">
        <f>IF(L80="","",INT((L80-Config!$B$9+WEEKDAY(Config!$B$9,2)-1)/7)+1)</f>
        <v/>
      </c>
      <c r="N80" s="66">
        <f>IF(L80="","",L80-2)</f>
        <v/>
      </c>
      <c r="O80" s="65" t="n"/>
      <c r="P80" s="65" t="n"/>
      <c r="Q80" s="65" t="n"/>
    </row>
    <row r="81">
      <c r="A81" s="65" t="n"/>
      <c r="B81" s="65" t="n"/>
      <c r="C81" s="65" t="n"/>
      <c r="D81" s="65" t="n"/>
      <c r="E81" s="65" t="n"/>
      <c r="F81" s="65" t="n"/>
      <c r="G81" s="65" t="n"/>
      <c r="H81" s="65" t="n"/>
      <c r="I81" s="65" t="n"/>
      <c r="J81" s="65" t="n"/>
      <c r="K81" s="65" t="n"/>
      <c r="L81" s="66" t="n"/>
      <c r="M81" s="65">
        <f>IF(L81="","",INT((L81-Config!$B$9+WEEKDAY(Config!$B$9,2)-1)/7)+1)</f>
        <v/>
      </c>
      <c r="N81" s="66">
        <f>IF(L81="","",L81-2)</f>
        <v/>
      </c>
      <c r="O81" s="65" t="n"/>
      <c r="P81" s="65" t="n"/>
      <c r="Q81" s="65" t="n"/>
    </row>
    <row r="82">
      <c r="A82" s="65" t="n"/>
      <c r="B82" s="65" t="n"/>
      <c r="C82" s="65" t="n"/>
      <c r="D82" s="65" t="n"/>
      <c r="E82" s="65" t="n"/>
      <c r="F82" s="65" t="n"/>
      <c r="G82" s="65" t="n"/>
      <c r="H82" s="65" t="n"/>
      <c r="I82" s="65" t="n"/>
      <c r="J82" s="65" t="n"/>
      <c r="K82" s="65" t="n"/>
      <c r="L82" s="66" t="n"/>
      <c r="M82" s="65">
        <f>IF(L82="","",INT((L82-Config!$B$9+WEEKDAY(Config!$B$9,2)-1)/7)+1)</f>
        <v/>
      </c>
      <c r="N82" s="66">
        <f>IF(L82="","",L82-2)</f>
        <v/>
      </c>
      <c r="O82" s="65" t="n"/>
      <c r="P82" s="65" t="n"/>
      <c r="Q82" s="65" t="n"/>
    </row>
    <row r="83">
      <c r="A83" s="65" t="n"/>
      <c r="B83" s="65" t="n"/>
      <c r="C83" s="65" t="n"/>
      <c r="D83" s="65" t="n"/>
      <c r="E83" s="65" t="n"/>
      <c r="F83" s="65" t="n"/>
      <c r="G83" s="65" t="n"/>
      <c r="H83" s="65" t="n"/>
      <c r="I83" s="65" t="n"/>
      <c r="J83" s="65" t="n"/>
      <c r="K83" s="65" t="n"/>
      <c r="L83" s="66" t="n"/>
      <c r="M83" s="65">
        <f>IF(L83="","",INT((L83-Config!$B$9+WEEKDAY(Config!$B$9,2)-1)/7)+1)</f>
        <v/>
      </c>
      <c r="N83" s="66">
        <f>IF(L83="","",L83-2)</f>
        <v/>
      </c>
      <c r="O83" s="65" t="n"/>
      <c r="P83" s="65" t="n"/>
      <c r="Q83" s="65" t="n"/>
    </row>
    <row r="84">
      <c r="A84" s="65" t="n"/>
      <c r="B84" s="65" t="n"/>
      <c r="C84" s="65" t="n"/>
      <c r="D84" s="65" t="n"/>
      <c r="E84" s="65" t="n"/>
      <c r="F84" s="65" t="n"/>
      <c r="G84" s="65" t="n"/>
      <c r="H84" s="65" t="n"/>
      <c r="I84" s="65" t="n"/>
      <c r="J84" s="65" t="n"/>
      <c r="K84" s="65" t="n"/>
      <c r="L84" s="66" t="n"/>
      <c r="M84" s="65">
        <f>IF(L84="","",INT((L84-Config!$B$9+WEEKDAY(Config!$B$9,2)-1)/7)+1)</f>
        <v/>
      </c>
      <c r="N84" s="66">
        <f>IF(L84="","",L84-2)</f>
        <v/>
      </c>
      <c r="O84" s="65" t="n"/>
      <c r="P84" s="65" t="n"/>
      <c r="Q84" s="65" t="n"/>
    </row>
    <row r="85">
      <c r="A85" s="65" t="n"/>
      <c r="B85" s="65" t="n"/>
      <c r="C85" s="65" t="n"/>
      <c r="D85" s="65" t="n"/>
      <c r="E85" s="65" t="n"/>
      <c r="F85" s="65" t="n"/>
      <c r="G85" s="65" t="n"/>
      <c r="H85" s="65" t="n"/>
      <c r="I85" s="65" t="n"/>
      <c r="J85" s="65" t="n"/>
      <c r="K85" s="65" t="n"/>
      <c r="L85" s="66" t="n"/>
      <c r="M85" s="65">
        <f>IF(L85="","",INT((L85-Config!$B$9+WEEKDAY(Config!$B$9,2)-1)/7)+1)</f>
        <v/>
      </c>
      <c r="N85" s="66">
        <f>IF(L85="","",L85-2)</f>
        <v/>
      </c>
      <c r="O85" s="65" t="n"/>
      <c r="P85" s="65" t="n"/>
      <c r="Q85" s="65" t="n"/>
    </row>
    <row r="86">
      <c r="A86" s="65" t="n"/>
      <c r="B86" s="65" t="n"/>
      <c r="C86" s="65" t="n"/>
      <c r="D86" s="65" t="n"/>
      <c r="E86" s="65" t="n"/>
      <c r="F86" s="65" t="n"/>
      <c r="G86" s="65" t="n"/>
      <c r="H86" s="65" t="n"/>
      <c r="I86" s="65" t="n"/>
      <c r="J86" s="65" t="n"/>
      <c r="K86" s="65" t="n"/>
      <c r="L86" s="66" t="n"/>
      <c r="M86" s="65">
        <f>IF(L86="","",INT((L86-Config!$B$9+WEEKDAY(Config!$B$9,2)-1)/7)+1)</f>
        <v/>
      </c>
      <c r="N86" s="66">
        <f>IF(L86="","",L86-2)</f>
        <v/>
      </c>
      <c r="O86" s="65" t="n"/>
      <c r="P86" s="65" t="n"/>
      <c r="Q86" s="65" t="n"/>
    </row>
    <row r="87">
      <c r="A87" s="65" t="n"/>
      <c r="B87" s="65" t="n"/>
      <c r="C87" s="65" t="n"/>
      <c r="D87" s="65" t="n"/>
      <c r="E87" s="65" t="n"/>
      <c r="F87" s="65" t="n"/>
      <c r="G87" s="65" t="n"/>
      <c r="H87" s="65" t="n"/>
      <c r="I87" s="65" t="n"/>
      <c r="J87" s="65" t="n"/>
      <c r="K87" s="65" t="n"/>
      <c r="L87" s="66" t="n"/>
      <c r="M87" s="65">
        <f>IF(L87="","",INT((L87-Config!$B$9+WEEKDAY(Config!$B$9,2)-1)/7)+1)</f>
        <v/>
      </c>
      <c r="N87" s="66">
        <f>IF(L87="","",L87-2)</f>
        <v/>
      </c>
      <c r="O87" s="65" t="n"/>
      <c r="P87" s="65" t="n"/>
      <c r="Q87" s="65" t="n"/>
    </row>
    <row r="88">
      <c r="A88" s="65" t="n"/>
      <c r="B88" s="65" t="n"/>
      <c r="C88" s="65" t="n"/>
      <c r="D88" s="65" t="n"/>
      <c r="E88" s="65" t="n"/>
      <c r="F88" s="65" t="n"/>
      <c r="G88" s="65" t="n"/>
      <c r="H88" s="65" t="n"/>
      <c r="I88" s="65" t="n"/>
      <c r="J88" s="65" t="n"/>
      <c r="K88" s="65" t="n"/>
      <c r="L88" s="66" t="n"/>
      <c r="M88" s="65">
        <f>IF(L88="","",INT((L88-Config!$B$9+WEEKDAY(Config!$B$9,2)-1)/7)+1)</f>
        <v/>
      </c>
      <c r="N88" s="66">
        <f>IF(L88="","",L88-2)</f>
        <v/>
      </c>
      <c r="O88" s="65" t="n"/>
      <c r="P88" s="65" t="n"/>
      <c r="Q88" s="65" t="n"/>
    </row>
    <row r="89">
      <c r="A89" s="65" t="n"/>
      <c r="B89" s="65" t="n"/>
      <c r="C89" s="65" t="n"/>
      <c r="D89" s="65" t="n"/>
      <c r="E89" s="65" t="n"/>
      <c r="F89" s="65" t="n"/>
      <c r="G89" s="65" t="n"/>
      <c r="H89" s="65" t="n"/>
      <c r="I89" s="65" t="n"/>
      <c r="J89" s="65" t="n"/>
      <c r="K89" s="65" t="n"/>
      <c r="L89" s="66" t="n"/>
      <c r="M89" s="65">
        <f>IF(L89="","",INT((L89-Config!$B$9+WEEKDAY(Config!$B$9,2)-1)/7)+1)</f>
        <v/>
      </c>
      <c r="N89" s="66">
        <f>IF(L89="","",L89-2)</f>
        <v/>
      </c>
      <c r="O89" s="65" t="n"/>
      <c r="P89" s="65" t="n"/>
      <c r="Q89" s="65" t="n"/>
    </row>
    <row r="90">
      <c r="A90" s="65" t="n"/>
      <c r="B90" s="65" t="n"/>
      <c r="C90" s="65" t="n"/>
      <c r="D90" s="65" t="n"/>
      <c r="E90" s="65" t="n"/>
      <c r="F90" s="65" t="n"/>
      <c r="G90" s="65" t="n"/>
      <c r="H90" s="65" t="n"/>
      <c r="I90" s="65" t="n"/>
      <c r="J90" s="65" t="n"/>
      <c r="K90" s="65" t="n"/>
      <c r="L90" s="66" t="n"/>
      <c r="M90" s="65">
        <f>IF(L90="","",INT((L90-Config!$B$9+WEEKDAY(Config!$B$9,2)-1)/7)+1)</f>
        <v/>
      </c>
      <c r="N90" s="66">
        <f>IF(L90="","",L90-2)</f>
        <v/>
      </c>
      <c r="O90" s="65" t="n"/>
      <c r="P90" s="65" t="n"/>
      <c r="Q90" s="65" t="n"/>
    </row>
    <row r="91">
      <c r="A91" s="65" t="n"/>
      <c r="B91" s="65" t="n"/>
      <c r="C91" s="65" t="n"/>
      <c r="D91" s="65" t="n"/>
      <c r="E91" s="65" t="n"/>
      <c r="F91" s="65" t="n"/>
      <c r="G91" s="65" t="n"/>
      <c r="H91" s="65" t="n"/>
      <c r="I91" s="65" t="n"/>
      <c r="J91" s="65" t="n"/>
      <c r="K91" s="65" t="n"/>
      <c r="L91" s="66" t="n"/>
      <c r="M91" s="65">
        <f>IF(L91="","",INT((L91-Config!$B$9+WEEKDAY(Config!$B$9,2)-1)/7)+1)</f>
        <v/>
      </c>
      <c r="N91" s="66">
        <f>IF(L91="","",L91-2)</f>
        <v/>
      </c>
      <c r="O91" s="65" t="n"/>
      <c r="P91" s="65" t="n"/>
      <c r="Q91" s="65" t="n"/>
    </row>
    <row r="92">
      <c r="A92" s="65" t="n"/>
      <c r="B92" s="65" t="n"/>
      <c r="C92" s="65" t="n"/>
      <c r="D92" s="65" t="n"/>
      <c r="E92" s="65" t="n"/>
      <c r="F92" s="65" t="n"/>
      <c r="G92" s="65" t="n"/>
      <c r="H92" s="65" t="n"/>
      <c r="I92" s="65" t="n"/>
      <c r="J92" s="65" t="n"/>
      <c r="K92" s="65" t="n"/>
      <c r="L92" s="66" t="n"/>
      <c r="M92" s="65">
        <f>IF(L92="","",INT((L92-Config!$B$9+WEEKDAY(Config!$B$9,2)-1)/7)+1)</f>
        <v/>
      </c>
      <c r="N92" s="66">
        <f>IF(L92="","",L92-2)</f>
        <v/>
      </c>
      <c r="O92" s="65" t="n"/>
      <c r="P92" s="65" t="n"/>
      <c r="Q92" s="65" t="n"/>
    </row>
    <row r="93">
      <c r="A93" s="65" t="n"/>
      <c r="B93" s="65" t="n"/>
      <c r="C93" s="65" t="n"/>
      <c r="D93" s="65" t="n"/>
      <c r="E93" s="65" t="n"/>
      <c r="F93" s="65" t="n"/>
      <c r="G93" s="65" t="n"/>
      <c r="H93" s="65" t="n"/>
      <c r="I93" s="65" t="n"/>
      <c r="J93" s="65" t="n"/>
      <c r="K93" s="65" t="n"/>
      <c r="L93" s="66" t="n"/>
      <c r="M93" s="65">
        <f>IF(L93="","",INT((L93-Config!$B$9+WEEKDAY(Config!$B$9,2)-1)/7)+1)</f>
        <v/>
      </c>
      <c r="N93" s="66">
        <f>IF(L93="","",L93-2)</f>
        <v/>
      </c>
      <c r="O93" s="65" t="n"/>
      <c r="P93" s="65" t="n"/>
      <c r="Q93" s="65" t="n"/>
    </row>
    <row r="94">
      <c r="A94" s="65" t="n"/>
      <c r="B94" s="65" t="n"/>
      <c r="C94" s="65" t="n"/>
      <c r="D94" s="65" t="n"/>
      <c r="E94" s="65" t="n"/>
      <c r="F94" s="65" t="n"/>
      <c r="G94" s="65" t="n"/>
      <c r="H94" s="65" t="n"/>
      <c r="I94" s="65" t="n"/>
      <c r="J94" s="65" t="n"/>
      <c r="K94" s="65" t="n"/>
      <c r="L94" s="66" t="n"/>
      <c r="M94" s="65">
        <f>IF(L94="","",INT((L94-Config!$B$9+WEEKDAY(Config!$B$9,2)-1)/7)+1)</f>
        <v/>
      </c>
      <c r="N94" s="66">
        <f>IF(L94="","",L94-2)</f>
        <v/>
      </c>
      <c r="O94" s="65" t="n"/>
      <c r="P94" s="65" t="n"/>
      <c r="Q94" s="65" t="n"/>
    </row>
    <row r="95">
      <c r="A95" s="65" t="n"/>
      <c r="B95" s="65" t="n"/>
      <c r="C95" s="65" t="n"/>
      <c r="D95" s="65" t="n"/>
      <c r="E95" s="65" t="n"/>
      <c r="F95" s="65" t="n"/>
      <c r="G95" s="65" t="n"/>
      <c r="H95" s="65" t="n"/>
      <c r="I95" s="65" t="n"/>
      <c r="J95" s="65" t="n"/>
      <c r="K95" s="65" t="n"/>
      <c r="L95" s="66" t="n"/>
      <c r="M95" s="65">
        <f>IF(L95="","",INT((L95-Config!$B$9+WEEKDAY(Config!$B$9,2)-1)/7)+1)</f>
        <v/>
      </c>
      <c r="N95" s="66">
        <f>IF(L95="","",L95-2)</f>
        <v/>
      </c>
      <c r="O95" s="65" t="n"/>
      <c r="P95" s="65" t="n"/>
      <c r="Q95" s="65" t="n"/>
    </row>
    <row r="96">
      <c r="A96" s="65" t="n"/>
      <c r="B96" s="65" t="n"/>
      <c r="C96" s="65" t="n"/>
      <c r="D96" s="65" t="n"/>
      <c r="E96" s="65" t="n"/>
      <c r="F96" s="65" t="n"/>
      <c r="G96" s="65" t="n"/>
      <c r="H96" s="65" t="n"/>
      <c r="I96" s="65" t="n"/>
      <c r="J96" s="65" t="n"/>
      <c r="K96" s="65" t="n"/>
      <c r="L96" s="66" t="n"/>
      <c r="M96" s="65">
        <f>IF(L96="","",INT((L96-Config!$B$9+WEEKDAY(Config!$B$9,2)-1)/7)+1)</f>
        <v/>
      </c>
      <c r="N96" s="66">
        <f>IF(L96="","",L96-2)</f>
        <v/>
      </c>
      <c r="O96" s="65" t="n"/>
      <c r="P96" s="65" t="n"/>
      <c r="Q96" s="65" t="n"/>
    </row>
    <row r="97">
      <c r="A97" s="65" t="n"/>
      <c r="B97" s="65" t="n"/>
      <c r="C97" s="65" t="n"/>
      <c r="D97" s="65" t="n"/>
      <c r="E97" s="65" t="n"/>
      <c r="F97" s="65" t="n"/>
      <c r="G97" s="65" t="n"/>
      <c r="H97" s="65" t="n"/>
      <c r="I97" s="65" t="n"/>
      <c r="J97" s="65" t="n"/>
      <c r="K97" s="65" t="n"/>
      <c r="L97" s="66" t="n"/>
      <c r="M97" s="65">
        <f>IF(L97="","",INT((L97-Config!$B$9+WEEKDAY(Config!$B$9,2)-1)/7)+1)</f>
        <v/>
      </c>
      <c r="N97" s="66">
        <f>IF(L97="","",L97-2)</f>
        <v/>
      </c>
      <c r="O97" s="65" t="n"/>
      <c r="P97" s="65" t="n"/>
      <c r="Q97" s="65" t="n"/>
    </row>
    <row r="98">
      <c r="A98" s="65" t="n"/>
      <c r="B98" s="65" t="n"/>
      <c r="C98" s="65" t="n"/>
      <c r="D98" s="65" t="n"/>
      <c r="E98" s="65" t="n"/>
      <c r="F98" s="65" t="n"/>
      <c r="G98" s="65" t="n"/>
      <c r="H98" s="65" t="n"/>
      <c r="I98" s="65" t="n"/>
      <c r="J98" s="65" t="n"/>
      <c r="K98" s="65" t="n"/>
      <c r="L98" s="66" t="n"/>
      <c r="M98" s="65">
        <f>IF(L98="","",INT((L98-Config!$B$9+WEEKDAY(Config!$B$9,2)-1)/7)+1)</f>
        <v/>
      </c>
      <c r="N98" s="66">
        <f>IF(L98="","",L98-2)</f>
        <v/>
      </c>
      <c r="O98" s="65" t="n"/>
      <c r="P98" s="65" t="n"/>
      <c r="Q98" s="65" t="n"/>
    </row>
    <row r="99">
      <c r="A99" s="65" t="n"/>
      <c r="B99" s="65" t="n"/>
      <c r="C99" s="65" t="n"/>
      <c r="D99" s="65" t="n"/>
      <c r="E99" s="65" t="n"/>
      <c r="F99" s="65" t="n"/>
      <c r="G99" s="65" t="n"/>
      <c r="H99" s="65" t="n"/>
      <c r="I99" s="65" t="n"/>
      <c r="J99" s="65" t="n"/>
      <c r="K99" s="65" t="n"/>
      <c r="L99" s="66" t="n"/>
      <c r="M99" s="65">
        <f>IF(L99="","",INT((L99-Config!$B$9+WEEKDAY(Config!$B$9,2)-1)/7)+1)</f>
        <v/>
      </c>
      <c r="N99" s="66">
        <f>IF(L99="","",L99-2)</f>
        <v/>
      </c>
      <c r="O99" s="65" t="n"/>
      <c r="P99" s="65" t="n"/>
      <c r="Q99" s="65" t="n"/>
    </row>
    <row r="100">
      <c r="A100" s="65" t="n"/>
      <c r="B100" s="65" t="n"/>
      <c r="C100" s="65" t="n"/>
      <c r="D100" s="65" t="n"/>
      <c r="E100" s="65" t="n"/>
      <c r="F100" s="65" t="n"/>
      <c r="G100" s="65" t="n"/>
      <c r="H100" s="65" t="n"/>
      <c r="I100" s="65" t="n"/>
      <c r="J100" s="65" t="n"/>
      <c r="K100" s="65" t="n"/>
      <c r="L100" s="66" t="n"/>
      <c r="M100" s="65">
        <f>IF(L100="","",INT((L100-Config!$B$9+WEEKDAY(Config!$B$9,2)-1)/7)+1)</f>
        <v/>
      </c>
      <c r="N100" s="66">
        <f>IF(L100="","",L100-2)</f>
        <v/>
      </c>
      <c r="O100" s="65" t="n"/>
      <c r="P100" s="65" t="n"/>
      <c r="Q100" s="65" t="n"/>
    </row>
    <row r="101">
      <c r="A101" s="65" t="n"/>
      <c r="B101" s="65" t="n"/>
      <c r="C101" s="65" t="n"/>
      <c r="D101" s="65" t="n"/>
      <c r="E101" s="65" t="n"/>
      <c r="F101" s="65" t="n"/>
      <c r="G101" s="65" t="n"/>
      <c r="H101" s="65" t="n"/>
      <c r="I101" s="65" t="n"/>
      <c r="J101" s="65" t="n"/>
      <c r="K101" s="65" t="n"/>
      <c r="L101" s="66" t="n"/>
      <c r="M101" s="65">
        <f>IF(L101="","",INT((L101-Config!$B$9+WEEKDAY(Config!$B$9,2)-1)/7)+1)</f>
        <v/>
      </c>
      <c r="N101" s="66">
        <f>IF(L101="","",L101-2)</f>
        <v/>
      </c>
      <c r="O101" s="65" t="n"/>
      <c r="P101" s="65" t="n"/>
      <c r="Q101" s="65" t="n"/>
    </row>
    <row r="102">
      <c r="A102" s="65" t="n"/>
      <c r="B102" s="65" t="n"/>
      <c r="C102" s="65" t="n"/>
      <c r="D102" s="65" t="n"/>
      <c r="E102" s="65" t="n"/>
      <c r="F102" s="65" t="n"/>
      <c r="G102" s="65" t="n"/>
      <c r="H102" s="65" t="n"/>
      <c r="I102" s="65" t="n"/>
      <c r="J102" s="65" t="n"/>
      <c r="K102" s="65" t="n"/>
      <c r="L102" s="66" t="n"/>
      <c r="M102" s="65">
        <f>IF(L102="","",INT((L102-Config!$B$9+WEEKDAY(Config!$B$9,2)-1)/7)+1)</f>
        <v/>
      </c>
      <c r="N102" s="66">
        <f>IF(L102="","",L102-2)</f>
        <v/>
      </c>
      <c r="O102" s="65" t="n"/>
      <c r="P102" s="65" t="n"/>
      <c r="Q102" s="65" t="n"/>
    </row>
    <row r="103">
      <c r="A103" s="65" t="n"/>
      <c r="B103" s="65" t="n"/>
      <c r="C103" s="65" t="n"/>
      <c r="D103" s="65" t="n"/>
      <c r="E103" s="65" t="n"/>
      <c r="F103" s="65" t="n"/>
      <c r="G103" s="65" t="n"/>
      <c r="H103" s="65" t="n"/>
      <c r="I103" s="65" t="n"/>
      <c r="J103" s="65" t="n"/>
      <c r="K103" s="65" t="n"/>
      <c r="L103" s="66" t="n"/>
      <c r="M103" s="65">
        <f>IF(L103="","",INT((L103-Config!$B$9+WEEKDAY(Config!$B$9,2)-1)/7)+1)</f>
        <v/>
      </c>
      <c r="N103" s="66">
        <f>IF(L103="","",L103-2)</f>
        <v/>
      </c>
      <c r="O103" s="65" t="n"/>
      <c r="P103" s="65" t="n"/>
      <c r="Q103" s="65" t="n"/>
    </row>
    <row r="104">
      <c r="A104" s="65" t="n"/>
      <c r="B104" s="65" t="n"/>
      <c r="C104" s="65" t="n"/>
      <c r="D104" s="65" t="n"/>
      <c r="E104" s="65" t="n"/>
      <c r="F104" s="65" t="n"/>
      <c r="G104" s="65" t="n"/>
      <c r="H104" s="65" t="n"/>
      <c r="I104" s="65" t="n"/>
      <c r="J104" s="65" t="n"/>
      <c r="K104" s="65" t="n"/>
      <c r="L104" s="66" t="n"/>
      <c r="M104" s="65">
        <f>IF(L104="","",INT((L104-Config!$B$9+WEEKDAY(Config!$B$9,2)-1)/7)+1)</f>
        <v/>
      </c>
      <c r="N104" s="66">
        <f>IF(L104="","",L104-2)</f>
        <v/>
      </c>
      <c r="O104" s="65" t="n"/>
      <c r="P104" s="65" t="n"/>
      <c r="Q104" s="65" t="n"/>
    </row>
  </sheetData>
  <mergeCells count="2">
    <mergeCell ref="A2:Q2"/>
    <mergeCell ref="A1:Q1"/>
  </mergeCells>
  <conditionalFormatting sqref="P5:P104">
    <cfRule type="cellIs" priority="1" operator="equal" dxfId="6">
      <formula>"Published"</formula>
    </cfRule>
    <cfRule type="cellIs" priority="2" operator="equal" dxfId="7">
      <formula>"Draft"</formula>
    </cfRule>
    <cfRule type="cellIs" priority="3" operator="equal" dxfId="8">
      <formula>"Approved"</formula>
    </cfRule>
    <cfRule type="cellIs" priority="4" operator="equal" dxfId="9">
      <formula>"Review"</formula>
    </cfRule>
  </conditionalFormatting>
  <dataValidations count="5">
    <dataValidation sqref="C5:C104" showDropDown="0" showInputMessage="0" showErrorMessage="0" allowBlank="1" type="list">
      <formula1>"Hero,Hub,Hygiene"</formula1>
    </dataValidation>
    <dataValidation sqref="K5:K104" showDropDown="0" showInputMessage="0" showErrorMessage="0" allowBlank="1" type="list">
      <formula1>"Facebook,Zalo OA,Website,TikTok,Email"</formula1>
    </dataValidation>
    <dataValidation sqref="P5:P104" showDropDown="0" showInputMessage="0" showErrorMessage="0" allowBlank="1" type="list">
      <formula1>"Draft,Review,Approved,Published"</formula1>
    </dataValidation>
    <dataValidation sqref="D5:D104" showDropDown="0" showInputMessage="0" showErrorMessage="0" allowBlank="1" type="list">
      <formula1>"TOFU,MOFU,BOFU"</formula1>
    </dataValidation>
    <dataValidation sqref="L5:L104" showDropDown="0" showInputMessage="1" showErrorMessage="1" allowBlank="1" errorTitle="Ngày không hợp lệ" error="Vui lòng nhập một ngày hợp lệ theo định dạng dd/mm/yyyy (ví dụ 25/12/2026)." promptTitle="Nhập Ngày đăng" prompt="Nhập theo định dạng dd/mm/yyyy (ví dụ 25/12/2026). Ô đã đặt sẵn number format dd/mm/yyyy." type="date" operator="between">
      <formula1>DATE(2000,1,1)</formula1>
      <formula2>DATE(2100,12,31)</formula2>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10" customWidth="1" min="3" max="3"/>
    <col width="14" customWidth="1" min="4" max="4"/>
    <col width="26" customWidth="1" min="5" max="5"/>
    <col width="26" customWidth="1" min="6" max="6"/>
    <col width="26" customWidth="1" min="7" max="7"/>
    <col width="20" customWidth="1" min="8" max="8"/>
    <col width="40" customWidth="1" min="9" max="9"/>
    <col width="26" customWidth="1" min="10" max="10"/>
    <col width="12" customWidth="1" min="11" max="11"/>
    <col width="12" customWidth="1" min="12" max="12"/>
    <col width="10" customWidth="1" min="13" max="13"/>
    <col width="12" customWidth="1" min="14" max="14"/>
    <col width="16" customWidth="1" min="15" max="15"/>
    <col width="12" customWidth="1" min="16" max="16"/>
    <col width="22" customWidth="1" min="17" max="17"/>
  </cols>
  <sheetData>
    <row r="1" ht="28" customHeight="1">
      <c r="A1" s="69" t="inlineStr">
        <is>
          <t>PILLAR 3: [Điền tên chủ đề Pillar 3]</t>
        </is>
      </c>
    </row>
    <row r="2" ht="18" customHeight="1">
      <c r="A2" s="63" t="inlineStr">
        <is>
          <t>Persona: [Điền tên/mô tả Persona mục tiêu]  |  Thương hiệu: [Điền tên thương hiệu]  |  Pillar này đăng vào: Tuần 3  (Xem đầy đủ cấu hình tại sheet Config)</t>
        </is>
      </c>
    </row>
    <row r="4" ht="32" customHeight="1">
      <c r="A4" s="70" t="inlineStr">
        <is>
          <t>Mã Cluster</t>
        </is>
      </c>
      <c r="B4" s="70" t="inlineStr">
        <is>
          <t>Tên bài/Chủ đề</t>
        </is>
      </c>
      <c r="C4" s="70" t="inlineStr">
        <is>
          <t>Loại 3H</t>
        </is>
      </c>
      <c r="D4" s="70" t="inlineStr">
        <is>
          <t>Mục tiêu phễu
(TOFU/MOFU/BOFU)</t>
        </is>
      </c>
      <c r="E4" s="70" t="inlineStr">
        <is>
          <t>Persona mục tiêu</t>
        </is>
      </c>
      <c r="F4" s="70" t="inlineStr">
        <is>
          <t>Từ khóa chính</t>
        </is>
      </c>
      <c r="G4" s="70" t="inlineStr">
        <is>
          <t>Tone giọng điệu</t>
        </is>
      </c>
      <c r="H4" s="70" t="inlineStr">
        <is>
          <t>Độ dài mong muốn</t>
        </is>
      </c>
      <c r="I4" s="70" t="inlineStr">
        <is>
          <t>Outline/Dàn ý chính</t>
        </is>
      </c>
      <c r="J4" s="70" t="inlineStr">
        <is>
          <t>CTA mong muốn</t>
        </is>
      </c>
      <c r="K4" s="70" t="inlineStr">
        <is>
          <t>Kênh đăng</t>
        </is>
      </c>
      <c r="L4" s="70" t="inlineStr">
        <is>
          <t>Ngày đăng</t>
        </is>
      </c>
      <c r="M4" s="70" t="inlineStr">
        <is>
          <t>Tuần (auto)</t>
        </is>
      </c>
      <c r="N4" s="70" t="inlineStr">
        <is>
          <t>Deadline</t>
        </is>
      </c>
      <c r="O4" s="70" t="inlineStr">
        <is>
          <t>Người phụ trách</t>
        </is>
      </c>
      <c r="P4" s="70" t="inlineStr">
        <is>
          <t>Trạng thái</t>
        </is>
      </c>
      <c r="Q4" s="70" t="inlineStr">
        <is>
          <t>KPI dự kiến</t>
        </is>
      </c>
    </row>
    <row r="5">
      <c r="A5" s="65" t="n"/>
      <c r="B5" s="65" t="n"/>
      <c r="C5" s="65" t="n"/>
      <c r="D5" s="65" t="n"/>
      <c r="E5" s="65" t="n"/>
      <c r="F5" s="65" t="n"/>
      <c r="G5" s="65" t="n"/>
      <c r="H5" s="65" t="n"/>
      <c r="I5" s="65" t="n"/>
      <c r="J5" s="65" t="n"/>
      <c r="K5" s="65" t="n"/>
      <c r="L5" s="66" t="n"/>
      <c r="M5" s="65">
        <f>IF(L5="","",INT((L5-Config!$B$9+WEEKDAY(Config!$B$9,2)-1)/7)+1)</f>
        <v/>
      </c>
      <c r="N5" s="66">
        <f>IF(L5="","",L5-2)</f>
        <v/>
      </c>
      <c r="O5" s="65" t="n"/>
      <c r="P5" s="65" t="n"/>
      <c r="Q5" s="65" t="n"/>
    </row>
    <row r="6">
      <c r="A6" s="65" t="n"/>
      <c r="B6" s="65" t="n"/>
      <c r="C6" s="65" t="n"/>
      <c r="D6" s="65" t="n"/>
      <c r="E6" s="65" t="n"/>
      <c r="F6" s="65" t="n"/>
      <c r="G6" s="65" t="n"/>
      <c r="H6" s="65" t="n"/>
      <c r="I6" s="65" t="n"/>
      <c r="J6" s="65" t="n"/>
      <c r="K6" s="65" t="n"/>
      <c r="L6" s="66" t="n"/>
      <c r="M6" s="65">
        <f>IF(L6="","",INT((L6-Config!$B$9+WEEKDAY(Config!$B$9,2)-1)/7)+1)</f>
        <v/>
      </c>
      <c r="N6" s="66">
        <f>IF(L6="","",L6-2)</f>
        <v/>
      </c>
      <c r="O6" s="65" t="n"/>
      <c r="P6" s="65" t="n"/>
      <c r="Q6" s="65" t="n"/>
    </row>
    <row r="7">
      <c r="A7" s="65" t="n"/>
      <c r="B7" s="65" t="n"/>
      <c r="C7" s="65" t="n"/>
      <c r="D7" s="65" t="n"/>
      <c r="E7" s="65" t="n"/>
      <c r="F7" s="65" t="n"/>
      <c r="G7" s="65" t="n"/>
      <c r="H7" s="65" t="n"/>
      <c r="I7" s="65" t="n"/>
      <c r="J7" s="65" t="n"/>
      <c r="K7" s="65" t="n"/>
      <c r="L7" s="66" t="n"/>
      <c r="M7" s="65">
        <f>IF(L7="","",INT((L7-Config!$B$9+WEEKDAY(Config!$B$9,2)-1)/7)+1)</f>
        <v/>
      </c>
      <c r="N7" s="66">
        <f>IF(L7="","",L7-2)</f>
        <v/>
      </c>
      <c r="O7" s="65" t="n"/>
      <c r="P7" s="65" t="n"/>
      <c r="Q7" s="65" t="n"/>
    </row>
    <row r="8">
      <c r="A8" s="65" t="n"/>
      <c r="B8" s="65" t="n"/>
      <c r="C8" s="65" t="n"/>
      <c r="D8" s="65" t="n"/>
      <c r="E8" s="65" t="n"/>
      <c r="F8" s="65" t="n"/>
      <c r="G8" s="65" t="n"/>
      <c r="H8" s="65" t="n"/>
      <c r="I8" s="65" t="n"/>
      <c r="J8" s="65" t="n"/>
      <c r="K8" s="65" t="n"/>
      <c r="L8" s="66" t="n"/>
      <c r="M8" s="65">
        <f>IF(L8="","",INT((L8-Config!$B$9+WEEKDAY(Config!$B$9,2)-1)/7)+1)</f>
        <v/>
      </c>
      <c r="N8" s="66">
        <f>IF(L8="","",L8-2)</f>
        <v/>
      </c>
      <c r="O8" s="65" t="n"/>
      <c r="P8" s="65" t="n"/>
      <c r="Q8" s="65" t="n"/>
    </row>
    <row r="9">
      <c r="A9" s="65" t="n"/>
      <c r="B9" s="65" t="n"/>
      <c r="C9" s="65" t="n"/>
      <c r="D9" s="65" t="n"/>
      <c r="E9" s="65" t="n"/>
      <c r="F9" s="65" t="n"/>
      <c r="G9" s="65" t="n"/>
      <c r="H9" s="65" t="n"/>
      <c r="I9" s="65" t="n"/>
      <c r="J9" s="65" t="n"/>
      <c r="K9" s="65" t="n"/>
      <c r="L9" s="66" t="n"/>
      <c r="M9" s="65">
        <f>IF(L9="","",INT((L9-Config!$B$9+WEEKDAY(Config!$B$9,2)-1)/7)+1)</f>
        <v/>
      </c>
      <c r="N9" s="66">
        <f>IF(L9="","",L9-2)</f>
        <v/>
      </c>
      <c r="O9" s="65" t="n"/>
      <c r="P9" s="65" t="n"/>
      <c r="Q9" s="65" t="n"/>
    </row>
    <row r="10">
      <c r="A10" s="65" t="n"/>
      <c r="B10" s="65" t="n"/>
      <c r="C10" s="65" t="n"/>
      <c r="D10" s="65" t="n"/>
      <c r="E10" s="65" t="n"/>
      <c r="F10" s="65" t="n"/>
      <c r="G10" s="65" t="n"/>
      <c r="H10" s="65" t="n"/>
      <c r="I10" s="65" t="n"/>
      <c r="J10" s="65" t="n"/>
      <c r="K10" s="65" t="n"/>
      <c r="L10" s="66" t="n"/>
      <c r="M10" s="65">
        <f>IF(L10="","",INT((L10-Config!$B$9+WEEKDAY(Config!$B$9,2)-1)/7)+1)</f>
        <v/>
      </c>
      <c r="N10" s="66">
        <f>IF(L10="","",L10-2)</f>
        <v/>
      </c>
      <c r="O10" s="65" t="n"/>
      <c r="P10" s="65" t="n"/>
      <c r="Q10" s="65" t="n"/>
    </row>
    <row r="11">
      <c r="A11" s="65" t="n"/>
      <c r="B11" s="65" t="n"/>
      <c r="C11" s="65" t="n"/>
      <c r="D11" s="65" t="n"/>
      <c r="E11" s="65" t="n"/>
      <c r="F11" s="65" t="n"/>
      <c r="G11" s="65" t="n"/>
      <c r="H11" s="65" t="n"/>
      <c r="I11" s="65" t="n"/>
      <c r="J11" s="65" t="n"/>
      <c r="K11" s="65" t="n"/>
      <c r="L11" s="66" t="n"/>
      <c r="M11" s="65">
        <f>IF(L11="","",INT((L11-Config!$B$9+WEEKDAY(Config!$B$9,2)-1)/7)+1)</f>
        <v/>
      </c>
      <c r="N11" s="66">
        <f>IF(L11="","",L11-2)</f>
        <v/>
      </c>
      <c r="O11" s="65" t="n"/>
      <c r="P11" s="65" t="n"/>
      <c r="Q11" s="65" t="n"/>
    </row>
    <row r="12">
      <c r="A12" s="65" t="n"/>
      <c r="B12" s="65" t="n"/>
      <c r="C12" s="65" t="n"/>
      <c r="D12" s="65" t="n"/>
      <c r="E12" s="65" t="n"/>
      <c r="F12" s="65" t="n"/>
      <c r="G12" s="65" t="n"/>
      <c r="H12" s="65" t="n"/>
      <c r="I12" s="65" t="n"/>
      <c r="J12" s="65" t="n"/>
      <c r="K12" s="65" t="n"/>
      <c r="L12" s="66" t="n"/>
      <c r="M12" s="65">
        <f>IF(L12="","",INT((L12-Config!$B$9+WEEKDAY(Config!$B$9,2)-1)/7)+1)</f>
        <v/>
      </c>
      <c r="N12" s="66">
        <f>IF(L12="","",L12-2)</f>
        <v/>
      </c>
      <c r="O12" s="65" t="n"/>
      <c r="P12" s="65" t="n"/>
      <c r="Q12" s="65" t="n"/>
    </row>
    <row r="13">
      <c r="A13" s="65" t="n"/>
      <c r="B13" s="65" t="n"/>
      <c r="C13" s="65" t="n"/>
      <c r="D13" s="65" t="n"/>
      <c r="E13" s="65" t="n"/>
      <c r="F13" s="65" t="n"/>
      <c r="G13" s="65" t="n"/>
      <c r="H13" s="65" t="n"/>
      <c r="I13" s="65" t="n"/>
      <c r="J13" s="65" t="n"/>
      <c r="K13" s="65" t="n"/>
      <c r="L13" s="66" t="n"/>
      <c r="M13" s="65">
        <f>IF(L13="","",INT((L13-Config!$B$9+WEEKDAY(Config!$B$9,2)-1)/7)+1)</f>
        <v/>
      </c>
      <c r="N13" s="66">
        <f>IF(L13="","",L13-2)</f>
        <v/>
      </c>
      <c r="O13" s="65" t="n"/>
      <c r="P13" s="65" t="n"/>
      <c r="Q13" s="65" t="n"/>
    </row>
    <row r="14">
      <c r="A14" s="65" t="n"/>
      <c r="B14" s="65" t="n"/>
      <c r="C14" s="65" t="n"/>
      <c r="D14" s="65" t="n"/>
      <c r="E14" s="65" t="n"/>
      <c r="F14" s="65" t="n"/>
      <c r="G14" s="65" t="n"/>
      <c r="H14" s="65" t="n"/>
      <c r="I14" s="65" t="n"/>
      <c r="J14" s="65" t="n"/>
      <c r="K14" s="65" t="n"/>
      <c r="L14" s="66" t="n"/>
      <c r="M14" s="65">
        <f>IF(L14="","",INT((L14-Config!$B$9+WEEKDAY(Config!$B$9,2)-1)/7)+1)</f>
        <v/>
      </c>
      <c r="N14" s="66">
        <f>IF(L14="","",L14-2)</f>
        <v/>
      </c>
      <c r="O14" s="65" t="n"/>
      <c r="P14" s="65" t="n"/>
      <c r="Q14" s="65" t="n"/>
    </row>
    <row r="15">
      <c r="A15" s="65" t="n"/>
      <c r="B15" s="65" t="n"/>
      <c r="C15" s="65" t="n"/>
      <c r="D15" s="65" t="n"/>
      <c r="E15" s="65" t="n"/>
      <c r="F15" s="65" t="n"/>
      <c r="G15" s="65" t="n"/>
      <c r="H15" s="65" t="n"/>
      <c r="I15" s="65" t="n"/>
      <c r="J15" s="65" t="n"/>
      <c r="K15" s="65" t="n"/>
      <c r="L15" s="66" t="n"/>
      <c r="M15" s="65">
        <f>IF(L15="","",INT((L15-Config!$B$9+WEEKDAY(Config!$B$9,2)-1)/7)+1)</f>
        <v/>
      </c>
      <c r="N15" s="66">
        <f>IF(L15="","",L15-2)</f>
        <v/>
      </c>
      <c r="O15" s="65" t="n"/>
      <c r="P15" s="65" t="n"/>
      <c r="Q15" s="65" t="n"/>
    </row>
    <row r="16">
      <c r="A16" s="65" t="n"/>
      <c r="B16" s="65" t="n"/>
      <c r="C16" s="65" t="n"/>
      <c r="D16" s="65" t="n"/>
      <c r="E16" s="65" t="n"/>
      <c r="F16" s="65" t="n"/>
      <c r="G16" s="65" t="n"/>
      <c r="H16" s="65" t="n"/>
      <c r="I16" s="65" t="n"/>
      <c r="J16" s="65" t="n"/>
      <c r="K16" s="65" t="n"/>
      <c r="L16" s="66" t="n"/>
      <c r="M16" s="65">
        <f>IF(L16="","",INT((L16-Config!$B$9+WEEKDAY(Config!$B$9,2)-1)/7)+1)</f>
        <v/>
      </c>
      <c r="N16" s="66">
        <f>IF(L16="","",L16-2)</f>
        <v/>
      </c>
      <c r="O16" s="65" t="n"/>
      <c r="P16" s="65" t="n"/>
      <c r="Q16" s="65" t="n"/>
    </row>
    <row r="17">
      <c r="A17" s="65" t="n"/>
      <c r="B17" s="65" t="n"/>
      <c r="C17" s="65" t="n"/>
      <c r="D17" s="65" t="n"/>
      <c r="E17" s="65" t="n"/>
      <c r="F17" s="65" t="n"/>
      <c r="G17" s="65" t="n"/>
      <c r="H17" s="65" t="n"/>
      <c r="I17" s="65" t="n"/>
      <c r="J17" s="65" t="n"/>
      <c r="K17" s="65" t="n"/>
      <c r="L17" s="66" t="n"/>
      <c r="M17" s="65">
        <f>IF(L17="","",INT((L17-Config!$B$9+WEEKDAY(Config!$B$9,2)-1)/7)+1)</f>
        <v/>
      </c>
      <c r="N17" s="66">
        <f>IF(L17="","",L17-2)</f>
        <v/>
      </c>
      <c r="O17" s="65" t="n"/>
      <c r="P17" s="65" t="n"/>
      <c r="Q17" s="65" t="n"/>
    </row>
    <row r="18">
      <c r="A18" s="65" t="n"/>
      <c r="B18" s="65" t="n"/>
      <c r="C18" s="65" t="n"/>
      <c r="D18" s="65" t="n"/>
      <c r="E18" s="65" t="n"/>
      <c r="F18" s="65" t="n"/>
      <c r="G18" s="65" t="n"/>
      <c r="H18" s="65" t="n"/>
      <c r="I18" s="65" t="n"/>
      <c r="J18" s="65" t="n"/>
      <c r="K18" s="65" t="n"/>
      <c r="L18" s="66" t="n"/>
      <c r="M18" s="65">
        <f>IF(L18="","",INT((L18-Config!$B$9+WEEKDAY(Config!$B$9,2)-1)/7)+1)</f>
        <v/>
      </c>
      <c r="N18" s="66">
        <f>IF(L18="","",L18-2)</f>
        <v/>
      </c>
      <c r="O18" s="65" t="n"/>
      <c r="P18" s="65" t="n"/>
      <c r="Q18" s="65" t="n"/>
    </row>
    <row r="19">
      <c r="A19" s="65" t="n"/>
      <c r="B19" s="65" t="n"/>
      <c r="C19" s="65" t="n"/>
      <c r="D19" s="65" t="n"/>
      <c r="E19" s="65" t="n"/>
      <c r="F19" s="65" t="n"/>
      <c r="G19" s="65" t="n"/>
      <c r="H19" s="65" t="n"/>
      <c r="I19" s="65" t="n"/>
      <c r="J19" s="65" t="n"/>
      <c r="K19" s="65" t="n"/>
      <c r="L19" s="66" t="n"/>
      <c r="M19" s="65">
        <f>IF(L19="","",INT((L19-Config!$B$9+WEEKDAY(Config!$B$9,2)-1)/7)+1)</f>
        <v/>
      </c>
      <c r="N19" s="66">
        <f>IF(L19="","",L19-2)</f>
        <v/>
      </c>
      <c r="O19" s="65" t="n"/>
      <c r="P19" s="65" t="n"/>
      <c r="Q19" s="65" t="n"/>
    </row>
    <row r="20">
      <c r="A20" s="65" t="n"/>
      <c r="B20" s="65" t="n"/>
      <c r="C20" s="65" t="n"/>
      <c r="D20" s="65" t="n"/>
      <c r="E20" s="65" t="n"/>
      <c r="F20" s="65" t="n"/>
      <c r="G20" s="65" t="n"/>
      <c r="H20" s="65" t="n"/>
      <c r="I20" s="65" t="n"/>
      <c r="J20" s="65" t="n"/>
      <c r="K20" s="65" t="n"/>
      <c r="L20" s="66" t="n"/>
      <c r="M20" s="65">
        <f>IF(L20="","",INT((L20-Config!$B$9+WEEKDAY(Config!$B$9,2)-1)/7)+1)</f>
        <v/>
      </c>
      <c r="N20" s="66">
        <f>IF(L20="","",L20-2)</f>
        <v/>
      </c>
      <c r="O20" s="65" t="n"/>
      <c r="P20" s="65" t="n"/>
      <c r="Q20" s="65" t="n"/>
    </row>
    <row r="21">
      <c r="A21" s="65" t="n"/>
      <c r="B21" s="65" t="n"/>
      <c r="C21" s="65" t="n"/>
      <c r="D21" s="65" t="n"/>
      <c r="E21" s="65" t="n"/>
      <c r="F21" s="65" t="n"/>
      <c r="G21" s="65" t="n"/>
      <c r="H21" s="65" t="n"/>
      <c r="I21" s="65" t="n"/>
      <c r="J21" s="65" t="n"/>
      <c r="K21" s="65" t="n"/>
      <c r="L21" s="66" t="n"/>
      <c r="M21" s="65">
        <f>IF(L21="","",INT((L21-Config!$B$9+WEEKDAY(Config!$B$9,2)-1)/7)+1)</f>
        <v/>
      </c>
      <c r="N21" s="66">
        <f>IF(L21="","",L21-2)</f>
        <v/>
      </c>
      <c r="O21" s="65" t="n"/>
      <c r="P21" s="65" t="n"/>
      <c r="Q21" s="65" t="n"/>
    </row>
    <row r="22">
      <c r="A22" s="65" t="n"/>
      <c r="B22" s="65" t="n"/>
      <c r="C22" s="65" t="n"/>
      <c r="D22" s="65" t="n"/>
      <c r="E22" s="65" t="n"/>
      <c r="F22" s="65" t="n"/>
      <c r="G22" s="65" t="n"/>
      <c r="H22" s="65" t="n"/>
      <c r="I22" s="65" t="n"/>
      <c r="J22" s="65" t="n"/>
      <c r="K22" s="65" t="n"/>
      <c r="L22" s="66" t="n"/>
      <c r="M22" s="65">
        <f>IF(L22="","",INT((L22-Config!$B$9+WEEKDAY(Config!$B$9,2)-1)/7)+1)</f>
        <v/>
      </c>
      <c r="N22" s="66">
        <f>IF(L22="","",L22-2)</f>
        <v/>
      </c>
      <c r="O22" s="65" t="n"/>
      <c r="P22" s="65" t="n"/>
      <c r="Q22" s="65" t="n"/>
    </row>
    <row r="23">
      <c r="A23" s="65" t="n"/>
      <c r="B23" s="65" t="n"/>
      <c r="C23" s="65" t="n"/>
      <c r="D23" s="65" t="n"/>
      <c r="E23" s="65" t="n"/>
      <c r="F23" s="65" t="n"/>
      <c r="G23" s="65" t="n"/>
      <c r="H23" s="65" t="n"/>
      <c r="I23" s="65" t="n"/>
      <c r="J23" s="65" t="n"/>
      <c r="K23" s="65" t="n"/>
      <c r="L23" s="66" t="n"/>
      <c r="M23" s="65">
        <f>IF(L23="","",INT((L23-Config!$B$9+WEEKDAY(Config!$B$9,2)-1)/7)+1)</f>
        <v/>
      </c>
      <c r="N23" s="66">
        <f>IF(L23="","",L23-2)</f>
        <v/>
      </c>
      <c r="O23" s="65" t="n"/>
      <c r="P23" s="65" t="n"/>
      <c r="Q23" s="65" t="n"/>
    </row>
    <row r="24">
      <c r="A24" s="65" t="n"/>
      <c r="B24" s="65" t="n"/>
      <c r="C24" s="65" t="n"/>
      <c r="D24" s="65" t="n"/>
      <c r="E24" s="65" t="n"/>
      <c r="F24" s="65" t="n"/>
      <c r="G24" s="65" t="n"/>
      <c r="H24" s="65" t="n"/>
      <c r="I24" s="65" t="n"/>
      <c r="J24" s="65" t="n"/>
      <c r="K24" s="65" t="n"/>
      <c r="L24" s="66" t="n"/>
      <c r="M24" s="65">
        <f>IF(L24="","",INT((L24-Config!$B$9+WEEKDAY(Config!$B$9,2)-1)/7)+1)</f>
        <v/>
      </c>
      <c r="N24" s="66">
        <f>IF(L24="","",L24-2)</f>
        <v/>
      </c>
      <c r="O24" s="65" t="n"/>
      <c r="P24" s="65" t="n"/>
      <c r="Q24" s="65" t="n"/>
    </row>
    <row r="25">
      <c r="A25" s="65" t="n"/>
      <c r="B25" s="65" t="n"/>
      <c r="C25" s="65" t="n"/>
      <c r="D25" s="65" t="n"/>
      <c r="E25" s="65" t="n"/>
      <c r="F25" s="65" t="n"/>
      <c r="G25" s="65" t="n"/>
      <c r="H25" s="65" t="n"/>
      <c r="I25" s="65" t="n"/>
      <c r="J25" s="65" t="n"/>
      <c r="K25" s="65" t="n"/>
      <c r="L25" s="66" t="n"/>
      <c r="M25" s="65">
        <f>IF(L25="","",INT((L25-Config!$B$9+WEEKDAY(Config!$B$9,2)-1)/7)+1)</f>
        <v/>
      </c>
      <c r="N25" s="66">
        <f>IF(L25="","",L25-2)</f>
        <v/>
      </c>
      <c r="O25" s="65" t="n"/>
      <c r="P25" s="65" t="n"/>
      <c r="Q25" s="65" t="n"/>
    </row>
    <row r="26">
      <c r="A26" s="65" t="n"/>
      <c r="B26" s="65" t="n"/>
      <c r="C26" s="65" t="n"/>
      <c r="D26" s="65" t="n"/>
      <c r="E26" s="65" t="n"/>
      <c r="F26" s="65" t="n"/>
      <c r="G26" s="65" t="n"/>
      <c r="H26" s="65" t="n"/>
      <c r="I26" s="65" t="n"/>
      <c r="J26" s="65" t="n"/>
      <c r="K26" s="65" t="n"/>
      <c r="L26" s="66" t="n"/>
      <c r="M26" s="65">
        <f>IF(L26="","",INT((L26-Config!$B$9+WEEKDAY(Config!$B$9,2)-1)/7)+1)</f>
        <v/>
      </c>
      <c r="N26" s="66">
        <f>IF(L26="","",L26-2)</f>
        <v/>
      </c>
      <c r="O26" s="65" t="n"/>
      <c r="P26" s="65" t="n"/>
      <c r="Q26" s="65" t="n"/>
    </row>
    <row r="27">
      <c r="A27" s="65" t="n"/>
      <c r="B27" s="65" t="n"/>
      <c r="C27" s="65" t="n"/>
      <c r="D27" s="65" t="n"/>
      <c r="E27" s="65" t="n"/>
      <c r="F27" s="65" t="n"/>
      <c r="G27" s="65" t="n"/>
      <c r="H27" s="65" t="n"/>
      <c r="I27" s="65" t="n"/>
      <c r="J27" s="65" t="n"/>
      <c r="K27" s="65" t="n"/>
      <c r="L27" s="66" t="n"/>
      <c r="M27" s="65">
        <f>IF(L27="","",INT((L27-Config!$B$9+WEEKDAY(Config!$B$9,2)-1)/7)+1)</f>
        <v/>
      </c>
      <c r="N27" s="66">
        <f>IF(L27="","",L27-2)</f>
        <v/>
      </c>
      <c r="O27" s="65" t="n"/>
      <c r="P27" s="65" t="n"/>
      <c r="Q27" s="65" t="n"/>
    </row>
    <row r="28">
      <c r="A28" s="65" t="n"/>
      <c r="B28" s="65" t="n"/>
      <c r="C28" s="65" t="n"/>
      <c r="D28" s="65" t="n"/>
      <c r="E28" s="65" t="n"/>
      <c r="F28" s="65" t="n"/>
      <c r="G28" s="65" t="n"/>
      <c r="H28" s="65" t="n"/>
      <c r="I28" s="65" t="n"/>
      <c r="J28" s="65" t="n"/>
      <c r="K28" s="65" t="n"/>
      <c r="L28" s="66" t="n"/>
      <c r="M28" s="65">
        <f>IF(L28="","",INT((L28-Config!$B$9+WEEKDAY(Config!$B$9,2)-1)/7)+1)</f>
        <v/>
      </c>
      <c r="N28" s="66">
        <f>IF(L28="","",L28-2)</f>
        <v/>
      </c>
      <c r="O28" s="65" t="n"/>
      <c r="P28" s="65" t="n"/>
      <c r="Q28" s="65" t="n"/>
    </row>
    <row r="29">
      <c r="A29" s="65" t="n"/>
      <c r="B29" s="65" t="n"/>
      <c r="C29" s="65" t="n"/>
      <c r="D29" s="65" t="n"/>
      <c r="E29" s="65" t="n"/>
      <c r="F29" s="65" t="n"/>
      <c r="G29" s="65" t="n"/>
      <c r="H29" s="65" t="n"/>
      <c r="I29" s="65" t="n"/>
      <c r="J29" s="65" t="n"/>
      <c r="K29" s="65" t="n"/>
      <c r="L29" s="66" t="n"/>
      <c r="M29" s="65">
        <f>IF(L29="","",INT((L29-Config!$B$9+WEEKDAY(Config!$B$9,2)-1)/7)+1)</f>
        <v/>
      </c>
      <c r="N29" s="66">
        <f>IF(L29="","",L29-2)</f>
        <v/>
      </c>
      <c r="O29" s="65" t="n"/>
      <c r="P29" s="65" t="n"/>
      <c r="Q29" s="65" t="n"/>
    </row>
    <row r="30">
      <c r="A30" s="65" t="n"/>
      <c r="B30" s="65" t="n"/>
      <c r="C30" s="65" t="n"/>
      <c r="D30" s="65" t="n"/>
      <c r="E30" s="65" t="n"/>
      <c r="F30" s="65" t="n"/>
      <c r="G30" s="65" t="n"/>
      <c r="H30" s="65" t="n"/>
      <c r="I30" s="65" t="n"/>
      <c r="J30" s="65" t="n"/>
      <c r="K30" s="65" t="n"/>
      <c r="L30" s="66" t="n"/>
      <c r="M30" s="65">
        <f>IF(L30="","",INT((L30-Config!$B$9+WEEKDAY(Config!$B$9,2)-1)/7)+1)</f>
        <v/>
      </c>
      <c r="N30" s="66">
        <f>IF(L30="","",L30-2)</f>
        <v/>
      </c>
      <c r="O30" s="65" t="n"/>
      <c r="P30" s="65" t="n"/>
      <c r="Q30" s="65" t="n"/>
    </row>
    <row r="31">
      <c r="A31" s="65" t="n"/>
      <c r="B31" s="65" t="n"/>
      <c r="C31" s="65" t="n"/>
      <c r="D31" s="65" t="n"/>
      <c r="E31" s="65" t="n"/>
      <c r="F31" s="65" t="n"/>
      <c r="G31" s="65" t="n"/>
      <c r="H31" s="65" t="n"/>
      <c r="I31" s="65" t="n"/>
      <c r="J31" s="65" t="n"/>
      <c r="K31" s="65" t="n"/>
      <c r="L31" s="66" t="n"/>
      <c r="M31" s="65">
        <f>IF(L31="","",INT((L31-Config!$B$9+WEEKDAY(Config!$B$9,2)-1)/7)+1)</f>
        <v/>
      </c>
      <c r="N31" s="66">
        <f>IF(L31="","",L31-2)</f>
        <v/>
      </c>
      <c r="O31" s="65" t="n"/>
      <c r="P31" s="65" t="n"/>
      <c r="Q31" s="65" t="n"/>
    </row>
    <row r="32">
      <c r="A32" s="65" t="n"/>
      <c r="B32" s="65" t="n"/>
      <c r="C32" s="65" t="n"/>
      <c r="D32" s="65" t="n"/>
      <c r="E32" s="65" t="n"/>
      <c r="F32" s="65" t="n"/>
      <c r="G32" s="65" t="n"/>
      <c r="H32" s="65" t="n"/>
      <c r="I32" s="65" t="n"/>
      <c r="J32" s="65" t="n"/>
      <c r="K32" s="65" t="n"/>
      <c r="L32" s="66" t="n"/>
      <c r="M32" s="65">
        <f>IF(L32="","",INT((L32-Config!$B$9+WEEKDAY(Config!$B$9,2)-1)/7)+1)</f>
        <v/>
      </c>
      <c r="N32" s="66">
        <f>IF(L32="","",L32-2)</f>
        <v/>
      </c>
      <c r="O32" s="65" t="n"/>
      <c r="P32" s="65" t="n"/>
      <c r="Q32" s="65" t="n"/>
    </row>
    <row r="33">
      <c r="A33" s="65" t="n"/>
      <c r="B33" s="65" t="n"/>
      <c r="C33" s="65" t="n"/>
      <c r="D33" s="65" t="n"/>
      <c r="E33" s="65" t="n"/>
      <c r="F33" s="65" t="n"/>
      <c r="G33" s="65" t="n"/>
      <c r="H33" s="65" t="n"/>
      <c r="I33" s="65" t="n"/>
      <c r="J33" s="65" t="n"/>
      <c r="K33" s="65" t="n"/>
      <c r="L33" s="66" t="n"/>
      <c r="M33" s="65">
        <f>IF(L33="","",INT((L33-Config!$B$9+WEEKDAY(Config!$B$9,2)-1)/7)+1)</f>
        <v/>
      </c>
      <c r="N33" s="66">
        <f>IF(L33="","",L33-2)</f>
        <v/>
      </c>
      <c r="O33" s="65" t="n"/>
      <c r="P33" s="65" t="n"/>
      <c r="Q33" s="65" t="n"/>
    </row>
    <row r="34">
      <c r="A34" s="65" t="n"/>
      <c r="B34" s="65" t="n"/>
      <c r="C34" s="65" t="n"/>
      <c r="D34" s="65" t="n"/>
      <c r="E34" s="65" t="n"/>
      <c r="F34" s="65" t="n"/>
      <c r="G34" s="65" t="n"/>
      <c r="H34" s="65" t="n"/>
      <c r="I34" s="65" t="n"/>
      <c r="J34" s="65" t="n"/>
      <c r="K34" s="65" t="n"/>
      <c r="L34" s="66" t="n"/>
      <c r="M34" s="65">
        <f>IF(L34="","",INT((L34-Config!$B$9+WEEKDAY(Config!$B$9,2)-1)/7)+1)</f>
        <v/>
      </c>
      <c r="N34" s="66">
        <f>IF(L34="","",L34-2)</f>
        <v/>
      </c>
      <c r="O34" s="65" t="n"/>
      <c r="P34" s="65" t="n"/>
      <c r="Q34" s="65" t="n"/>
    </row>
    <row r="35">
      <c r="A35" s="65" t="n"/>
      <c r="B35" s="65" t="n"/>
      <c r="C35" s="65" t="n"/>
      <c r="D35" s="65" t="n"/>
      <c r="E35" s="65" t="n"/>
      <c r="F35" s="65" t="n"/>
      <c r="G35" s="65" t="n"/>
      <c r="H35" s="65" t="n"/>
      <c r="I35" s="65" t="n"/>
      <c r="J35" s="65" t="n"/>
      <c r="K35" s="65" t="n"/>
      <c r="L35" s="66" t="n"/>
      <c r="M35" s="65">
        <f>IF(L35="","",INT((L35-Config!$B$9+WEEKDAY(Config!$B$9,2)-1)/7)+1)</f>
        <v/>
      </c>
      <c r="N35" s="66">
        <f>IF(L35="","",L35-2)</f>
        <v/>
      </c>
      <c r="O35" s="65" t="n"/>
      <c r="P35" s="65" t="n"/>
      <c r="Q35" s="65" t="n"/>
    </row>
    <row r="36">
      <c r="A36" s="65" t="n"/>
      <c r="B36" s="65" t="n"/>
      <c r="C36" s="65" t="n"/>
      <c r="D36" s="65" t="n"/>
      <c r="E36" s="65" t="n"/>
      <c r="F36" s="65" t="n"/>
      <c r="G36" s="65" t="n"/>
      <c r="H36" s="65" t="n"/>
      <c r="I36" s="65" t="n"/>
      <c r="J36" s="65" t="n"/>
      <c r="K36" s="65" t="n"/>
      <c r="L36" s="66" t="n"/>
      <c r="M36" s="65">
        <f>IF(L36="","",INT((L36-Config!$B$9+WEEKDAY(Config!$B$9,2)-1)/7)+1)</f>
        <v/>
      </c>
      <c r="N36" s="66">
        <f>IF(L36="","",L36-2)</f>
        <v/>
      </c>
      <c r="O36" s="65" t="n"/>
      <c r="P36" s="65" t="n"/>
      <c r="Q36" s="65" t="n"/>
    </row>
    <row r="37">
      <c r="A37" s="65" t="n"/>
      <c r="B37" s="65" t="n"/>
      <c r="C37" s="65" t="n"/>
      <c r="D37" s="65" t="n"/>
      <c r="E37" s="65" t="n"/>
      <c r="F37" s="65" t="n"/>
      <c r="G37" s="65" t="n"/>
      <c r="H37" s="65" t="n"/>
      <c r="I37" s="65" t="n"/>
      <c r="J37" s="65" t="n"/>
      <c r="K37" s="65" t="n"/>
      <c r="L37" s="66" t="n"/>
      <c r="M37" s="65">
        <f>IF(L37="","",INT((L37-Config!$B$9+WEEKDAY(Config!$B$9,2)-1)/7)+1)</f>
        <v/>
      </c>
      <c r="N37" s="66">
        <f>IF(L37="","",L37-2)</f>
        <v/>
      </c>
      <c r="O37" s="65" t="n"/>
      <c r="P37" s="65" t="n"/>
      <c r="Q37" s="65" t="n"/>
    </row>
    <row r="38">
      <c r="A38" s="65" t="n"/>
      <c r="B38" s="65" t="n"/>
      <c r="C38" s="65" t="n"/>
      <c r="D38" s="65" t="n"/>
      <c r="E38" s="65" t="n"/>
      <c r="F38" s="65" t="n"/>
      <c r="G38" s="65" t="n"/>
      <c r="H38" s="65" t="n"/>
      <c r="I38" s="65" t="n"/>
      <c r="J38" s="65" t="n"/>
      <c r="K38" s="65" t="n"/>
      <c r="L38" s="66" t="n"/>
      <c r="M38" s="65">
        <f>IF(L38="","",INT((L38-Config!$B$9+WEEKDAY(Config!$B$9,2)-1)/7)+1)</f>
        <v/>
      </c>
      <c r="N38" s="66">
        <f>IF(L38="","",L38-2)</f>
        <v/>
      </c>
      <c r="O38" s="65" t="n"/>
      <c r="P38" s="65" t="n"/>
      <c r="Q38" s="65" t="n"/>
    </row>
    <row r="39">
      <c r="A39" s="65" t="n"/>
      <c r="B39" s="65" t="n"/>
      <c r="C39" s="65" t="n"/>
      <c r="D39" s="65" t="n"/>
      <c r="E39" s="65" t="n"/>
      <c r="F39" s="65" t="n"/>
      <c r="G39" s="65" t="n"/>
      <c r="H39" s="65" t="n"/>
      <c r="I39" s="65" t="n"/>
      <c r="J39" s="65" t="n"/>
      <c r="K39" s="65" t="n"/>
      <c r="L39" s="66" t="n"/>
      <c r="M39" s="65">
        <f>IF(L39="","",INT((L39-Config!$B$9+WEEKDAY(Config!$B$9,2)-1)/7)+1)</f>
        <v/>
      </c>
      <c r="N39" s="66">
        <f>IF(L39="","",L39-2)</f>
        <v/>
      </c>
      <c r="O39" s="65" t="n"/>
      <c r="P39" s="65" t="n"/>
      <c r="Q39" s="65" t="n"/>
    </row>
    <row r="40">
      <c r="A40" s="65" t="n"/>
      <c r="B40" s="65" t="n"/>
      <c r="C40" s="65" t="n"/>
      <c r="D40" s="65" t="n"/>
      <c r="E40" s="65" t="n"/>
      <c r="F40" s="65" t="n"/>
      <c r="G40" s="65" t="n"/>
      <c r="H40" s="65" t="n"/>
      <c r="I40" s="65" t="n"/>
      <c r="J40" s="65" t="n"/>
      <c r="K40" s="65" t="n"/>
      <c r="L40" s="66" t="n"/>
      <c r="M40" s="65">
        <f>IF(L40="","",INT((L40-Config!$B$9+WEEKDAY(Config!$B$9,2)-1)/7)+1)</f>
        <v/>
      </c>
      <c r="N40" s="66">
        <f>IF(L40="","",L40-2)</f>
        <v/>
      </c>
      <c r="O40" s="65" t="n"/>
      <c r="P40" s="65" t="n"/>
      <c r="Q40" s="65" t="n"/>
    </row>
    <row r="41">
      <c r="A41" s="65" t="n"/>
      <c r="B41" s="65" t="n"/>
      <c r="C41" s="65" t="n"/>
      <c r="D41" s="65" t="n"/>
      <c r="E41" s="65" t="n"/>
      <c r="F41" s="65" t="n"/>
      <c r="G41" s="65" t="n"/>
      <c r="H41" s="65" t="n"/>
      <c r="I41" s="65" t="n"/>
      <c r="J41" s="65" t="n"/>
      <c r="K41" s="65" t="n"/>
      <c r="L41" s="66" t="n"/>
      <c r="M41" s="65">
        <f>IF(L41="","",INT((L41-Config!$B$9+WEEKDAY(Config!$B$9,2)-1)/7)+1)</f>
        <v/>
      </c>
      <c r="N41" s="66">
        <f>IF(L41="","",L41-2)</f>
        <v/>
      </c>
      <c r="O41" s="65" t="n"/>
      <c r="P41" s="65" t="n"/>
      <c r="Q41" s="65" t="n"/>
    </row>
    <row r="42">
      <c r="A42" s="65" t="n"/>
      <c r="B42" s="65" t="n"/>
      <c r="C42" s="65" t="n"/>
      <c r="D42" s="65" t="n"/>
      <c r="E42" s="65" t="n"/>
      <c r="F42" s="65" t="n"/>
      <c r="G42" s="65" t="n"/>
      <c r="H42" s="65" t="n"/>
      <c r="I42" s="65" t="n"/>
      <c r="J42" s="65" t="n"/>
      <c r="K42" s="65" t="n"/>
      <c r="L42" s="66" t="n"/>
      <c r="M42" s="65">
        <f>IF(L42="","",INT((L42-Config!$B$9+WEEKDAY(Config!$B$9,2)-1)/7)+1)</f>
        <v/>
      </c>
      <c r="N42" s="66">
        <f>IF(L42="","",L42-2)</f>
        <v/>
      </c>
      <c r="O42" s="65" t="n"/>
      <c r="P42" s="65" t="n"/>
      <c r="Q42" s="65" t="n"/>
    </row>
    <row r="43">
      <c r="A43" s="65" t="n"/>
      <c r="B43" s="65" t="n"/>
      <c r="C43" s="65" t="n"/>
      <c r="D43" s="65" t="n"/>
      <c r="E43" s="65" t="n"/>
      <c r="F43" s="65" t="n"/>
      <c r="G43" s="65" t="n"/>
      <c r="H43" s="65" t="n"/>
      <c r="I43" s="65" t="n"/>
      <c r="J43" s="65" t="n"/>
      <c r="K43" s="65" t="n"/>
      <c r="L43" s="66" t="n"/>
      <c r="M43" s="65">
        <f>IF(L43="","",INT((L43-Config!$B$9+WEEKDAY(Config!$B$9,2)-1)/7)+1)</f>
        <v/>
      </c>
      <c r="N43" s="66">
        <f>IF(L43="","",L43-2)</f>
        <v/>
      </c>
      <c r="O43" s="65" t="n"/>
      <c r="P43" s="65" t="n"/>
      <c r="Q43" s="65" t="n"/>
    </row>
    <row r="44">
      <c r="A44" s="65" t="n"/>
      <c r="B44" s="65" t="n"/>
      <c r="C44" s="65" t="n"/>
      <c r="D44" s="65" t="n"/>
      <c r="E44" s="65" t="n"/>
      <c r="F44" s="65" t="n"/>
      <c r="G44" s="65" t="n"/>
      <c r="H44" s="65" t="n"/>
      <c r="I44" s="65" t="n"/>
      <c r="J44" s="65" t="n"/>
      <c r="K44" s="65" t="n"/>
      <c r="L44" s="66" t="n"/>
      <c r="M44" s="65">
        <f>IF(L44="","",INT((L44-Config!$B$9+WEEKDAY(Config!$B$9,2)-1)/7)+1)</f>
        <v/>
      </c>
      <c r="N44" s="66">
        <f>IF(L44="","",L44-2)</f>
        <v/>
      </c>
      <c r="O44" s="65" t="n"/>
      <c r="P44" s="65" t="n"/>
      <c r="Q44" s="65" t="n"/>
    </row>
    <row r="45">
      <c r="A45" s="65" t="n"/>
      <c r="B45" s="65" t="n"/>
      <c r="C45" s="65" t="n"/>
      <c r="D45" s="65" t="n"/>
      <c r="E45" s="65" t="n"/>
      <c r="F45" s="65" t="n"/>
      <c r="G45" s="65" t="n"/>
      <c r="H45" s="65" t="n"/>
      <c r="I45" s="65" t="n"/>
      <c r="J45" s="65" t="n"/>
      <c r="K45" s="65" t="n"/>
      <c r="L45" s="66" t="n"/>
      <c r="M45" s="65">
        <f>IF(L45="","",INT((L45-Config!$B$9+WEEKDAY(Config!$B$9,2)-1)/7)+1)</f>
        <v/>
      </c>
      <c r="N45" s="66">
        <f>IF(L45="","",L45-2)</f>
        <v/>
      </c>
      <c r="O45" s="65" t="n"/>
      <c r="P45" s="65" t="n"/>
      <c r="Q45" s="65" t="n"/>
    </row>
    <row r="46">
      <c r="A46" s="65" t="n"/>
      <c r="B46" s="65" t="n"/>
      <c r="C46" s="65" t="n"/>
      <c r="D46" s="65" t="n"/>
      <c r="E46" s="65" t="n"/>
      <c r="F46" s="65" t="n"/>
      <c r="G46" s="65" t="n"/>
      <c r="H46" s="65" t="n"/>
      <c r="I46" s="65" t="n"/>
      <c r="J46" s="65" t="n"/>
      <c r="K46" s="65" t="n"/>
      <c r="L46" s="66" t="n"/>
      <c r="M46" s="65">
        <f>IF(L46="","",INT((L46-Config!$B$9+WEEKDAY(Config!$B$9,2)-1)/7)+1)</f>
        <v/>
      </c>
      <c r="N46" s="66">
        <f>IF(L46="","",L46-2)</f>
        <v/>
      </c>
      <c r="O46" s="65" t="n"/>
      <c r="P46" s="65" t="n"/>
      <c r="Q46" s="65" t="n"/>
    </row>
    <row r="47">
      <c r="A47" s="65" t="n"/>
      <c r="B47" s="65" t="n"/>
      <c r="C47" s="65" t="n"/>
      <c r="D47" s="65" t="n"/>
      <c r="E47" s="65" t="n"/>
      <c r="F47" s="65" t="n"/>
      <c r="G47" s="65" t="n"/>
      <c r="H47" s="65" t="n"/>
      <c r="I47" s="65" t="n"/>
      <c r="J47" s="65" t="n"/>
      <c r="K47" s="65" t="n"/>
      <c r="L47" s="66" t="n"/>
      <c r="M47" s="65">
        <f>IF(L47="","",INT((L47-Config!$B$9+WEEKDAY(Config!$B$9,2)-1)/7)+1)</f>
        <v/>
      </c>
      <c r="N47" s="66">
        <f>IF(L47="","",L47-2)</f>
        <v/>
      </c>
      <c r="O47" s="65" t="n"/>
      <c r="P47" s="65" t="n"/>
      <c r="Q47" s="65" t="n"/>
    </row>
    <row r="48">
      <c r="A48" s="65" t="n"/>
      <c r="B48" s="65" t="n"/>
      <c r="C48" s="65" t="n"/>
      <c r="D48" s="65" t="n"/>
      <c r="E48" s="65" t="n"/>
      <c r="F48" s="65" t="n"/>
      <c r="G48" s="65" t="n"/>
      <c r="H48" s="65" t="n"/>
      <c r="I48" s="65" t="n"/>
      <c r="J48" s="65" t="n"/>
      <c r="K48" s="65" t="n"/>
      <c r="L48" s="66" t="n"/>
      <c r="M48" s="65">
        <f>IF(L48="","",INT((L48-Config!$B$9+WEEKDAY(Config!$B$9,2)-1)/7)+1)</f>
        <v/>
      </c>
      <c r="N48" s="66">
        <f>IF(L48="","",L48-2)</f>
        <v/>
      </c>
      <c r="O48" s="65" t="n"/>
      <c r="P48" s="65" t="n"/>
      <c r="Q48" s="65" t="n"/>
    </row>
    <row r="49">
      <c r="A49" s="65" t="n"/>
      <c r="B49" s="65" t="n"/>
      <c r="C49" s="65" t="n"/>
      <c r="D49" s="65" t="n"/>
      <c r="E49" s="65" t="n"/>
      <c r="F49" s="65" t="n"/>
      <c r="G49" s="65" t="n"/>
      <c r="H49" s="65" t="n"/>
      <c r="I49" s="65" t="n"/>
      <c r="J49" s="65" t="n"/>
      <c r="K49" s="65" t="n"/>
      <c r="L49" s="66" t="n"/>
      <c r="M49" s="65">
        <f>IF(L49="","",INT((L49-Config!$B$9+WEEKDAY(Config!$B$9,2)-1)/7)+1)</f>
        <v/>
      </c>
      <c r="N49" s="66">
        <f>IF(L49="","",L49-2)</f>
        <v/>
      </c>
      <c r="O49" s="65" t="n"/>
      <c r="P49" s="65" t="n"/>
      <c r="Q49" s="65" t="n"/>
    </row>
    <row r="50">
      <c r="A50" s="65" t="n"/>
      <c r="B50" s="65" t="n"/>
      <c r="C50" s="65" t="n"/>
      <c r="D50" s="65" t="n"/>
      <c r="E50" s="65" t="n"/>
      <c r="F50" s="65" t="n"/>
      <c r="G50" s="65" t="n"/>
      <c r="H50" s="65" t="n"/>
      <c r="I50" s="65" t="n"/>
      <c r="J50" s="65" t="n"/>
      <c r="K50" s="65" t="n"/>
      <c r="L50" s="66" t="n"/>
      <c r="M50" s="65">
        <f>IF(L50="","",INT((L50-Config!$B$9+WEEKDAY(Config!$B$9,2)-1)/7)+1)</f>
        <v/>
      </c>
      <c r="N50" s="66">
        <f>IF(L50="","",L50-2)</f>
        <v/>
      </c>
      <c r="O50" s="65" t="n"/>
      <c r="P50" s="65" t="n"/>
      <c r="Q50" s="65" t="n"/>
    </row>
    <row r="51">
      <c r="A51" s="65" t="n"/>
      <c r="B51" s="65" t="n"/>
      <c r="C51" s="65" t="n"/>
      <c r="D51" s="65" t="n"/>
      <c r="E51" s="65" t="n"/>
      <c r="F51" s="65" t="n"/>
      <c r="G51" s="65" t="n"/>
      <c r="H51" s="65" t="n"/>
      <c r="I51" s="65" t="n"/>
      <c r="J51" s="65" t="n"/>
      <c r="K51" s="65" t="n"/>
      <c r="L51" s="66" t="n"/>
      <c r="M51" s="65">
        <f>IF(L51="","",INT((L51-Config!$B$9+WEEKDAY(Config!$B$9,2)-1)/7)+1)</f>
        <v/>
      </c>
      <c r="N51" s="66">
        <f>IF(L51="","",L51-2)</f>
        <v/>
      </c>
      <c r="O51" s="65" t="n"/>
      <c r="P51" s="65" t="n"/>
      <c r="Q51" s="65" t="n"/>
    </row>
    <row r="52">
      <c r="A52" s="65" t="n"/>
      <c r="B52" s="65" t="n"/>
      <c r="C52" s="65" t="n"/>
      <c r="D52" s="65" t="n"/>
      <c r="E52" s="65" t="n"/>
      <c r="F52" s="65" t="n"/>
      <c r="G52" s="65" t="n"/>
      <c r="H52" s="65" t="n"/>
      <c r="I52" s="65" t="n"/>
      <c r="J52" s="65" t="n"/>
      <c r="K52" s="65" t="n"/>
      <c r="L52" s="66" t="n"/>
      <c r="M52" s="65">
        <f>IF(L52="","",INT((L52-Config!$B$9+WEEKDAY(Config!$B$9,2)-1)/7)+1)</f>
        <v/>
      </c>
      <c r="N52" s="66">
        <f>IF(L52="","",L52-2)</f>
        <v/>
      </c>
      <c r="O52" s="65" t="n"/>
      <c r="P52" s="65" t="n"/>
      <c r="Q52" s="65" t="n"/>
    </row>
    <row r="53">
      <c r="A53" s="65" t="n"/>
      <c r="B53" s="65" t="n"/>
      <c r="C53" s="65" t="n"/>
      <c r="D53" s="65" t="n"/>
      <c r="E53" s="65" t="n"/>
      <c r="F53" s="65" t="n"/>
      <c r="G53" s="65" t="n"/>
      <c r="H53" s="65" t="n"/>
      <c r="I53" s="65" t="n"/>
      <c r="J53" s="65" t="n"/>
      <c r="K53" s="65" t="n"/>
      <c r="L53" s="66" t="n"/>
      <c r="M53" s="65">
        <f>IF(L53="","",INT((L53-Config!$B$9+WEEKDAY(Config!$B$9,2)-1)/7)+1)</f>
        <v/>
      </c>
      <c r="N53" s="66">
        <f>IF(L53="","",L53-2)</f>
        <v/>
      </c>
      <c r="O53" s="65" t="n"/>
      <c r="P53" s="65" t="n"/>
      <c r="Q53" s="65" t="n"/>
    </row>
    <row r="54">
      <c r="A54" s="65" t="n"/>
      <c r="B54" s="65" t="n"/>
      <c r="C54" s="65" t="n"/>
      <c r="D54" s="65" t="n"/>
      <c r="E54" s="65" t="n"/>
      <c r="F54" s="65" t="n"/>
      <c r="G54" s="65" t="n"/>
      <c r="H54" s="65" t="n"/>
      <c r="I54" s="65" t="n"/>
      <c r="J54" s="65" t="n"/>
      <c r="K54" s="65" t="n"/>
      <c r="L54" s="66" t="n"/>
      <c r="M54" s="65">
        <f>IF(L54="","",INT((L54-Config!$B$9+WEEKDAY(Config!$B$9,2)-1)/7)+1)</f>
        <v/>
      </c>
      <c r="N54" s="66">
        <f>IF(L54="","",L54-2)</f>
        <v/>
      </c>
      <c r="O54" s="65" t="n"/>
      <c r="P54" s="65" t="n"/>
      <c r="Q54" s="65" t="n"/>
    </row>
    <row r="55">
      <c r="A55" s="65" t="n"/>
      <c r="B55" s="65" t="n"/>
      <c r="C55" s="65" t="n"/>
      <c r="D55" s="65" t="n"/>
      <c r="E55" s="65" t="n"/>
      <c r="F55" s="65" t="n"/>
      <c r="G55" s="65" t="n"/>
      <c r="H55" s="65" t="n"/>
      <c r="I55" s="65" t="n"/>
      <c r="J55" s="65" t="n"/>
      <c r="K55" s="65" t="n"/>
      <c r="L55" s="66" t="n"/>
      <c r="M55" s="65">
        <f>IF(L55="","",INT((L55-Config!$B$9+WEEKDAY(Config!$B$9,2)-1)/7)+1)</f>
        <v/>
      </c>
      <c r="N55" s="66">
        <f>IF(L55="","",L55-2)</f>
        <v/>
      </c>
      <c r="O55" s="65" t="n"/>
      <c r="P55" s="65" t="n"/>
      <c r="Q55" s="65" t="n"/>
    </row>
    <row r="56">
      <c r="A56" s="65" t="n"/>
      <c r="B56" s="65" t="n"/>
      <c r="C56" s="65" t="n"/>
      <c r="D56" s="65" t="n"/>
      <c r="E56" s="65" t="n"/>
      <c r="F56" s="65" t="n"/>
      <c r="G56" s="65" t="n"/>
      <c r="H56" s="65" t="n"/>
      <c r="I56" s="65" t="n"/>
      <c r="J56" s="65" t="n"/>
      <c r="K56" s="65" t="n"/>
      <c r="L56" s="66" t="n"/>
      <c r="M56" s="65">
        <f>IF(L56="","",INT((L56-Config!$B$9+WEEKDAY(Config!$B$9,2)-1)/7)+1)</f>
        <v/>
      </c>
      <c r="N56" s="66">
        <f>IF(L56="","",L56-2)</f>
        <v/>
      </c>
      <c r="O56" s="65" t="n"/>
      <c r="P56" s="65" t="n"/>
      <c r="Q56" s="65" t="n"/>
    </row>
    <row r="57">
      <c r="A57" s="65" t="n"/>
      <c r="B57" s="65" t="n"/>
      <c r="C57" s="65" t="n"/>
      <c r="D57" s="65" t="n"/>
      <c r="E57" s="65" t="n"/>
      <c r="F57" s="65" t="n"/>
      <c r="G57" s="65" t="n"/>
      <c r="H57" s="65" t="n"/>
      <c r="I57" s="65" t="n"/>
      <c r="J57" s="65" t="n"/>
      <c r="K57" s="65" t="n"/>
      <c r="L57" s="66" t="n"/>
      <c r="M57" s="65">
        <f>IF(L57="","",INT((L57-Config!$B$9+WEEKDAY(Config!$B$9,2)-1)/7)+1)</f>
        <v/>
      </c>
      <c r="N57" s="66">
        <f>IF(L57="","",L57-2)</f>
        <v/>
      </c>
      <c r="O57" s="65" t="n"/>
      <c r="P57" s="65" t="n"/>
      <c r="Q57" s="65" t="n"/>
    </row>
    <row r="58">
      <c r="A58" s="65" t="n"/>
      <c r="B58" s="65" t="n"/>
      <c r="C58" s="65" t="n"/>
      <c r="D58" s="65" t="n"/>
      <c r="E58" s="65" t="n"/>
      <c r="F58" s="65" t="n"/>
      <c r="G58" s="65" t="n"/>
      <c r="H58" s="65" t="n"/>
      <c r="I58" s="65" t="n"/>
      <c r="J58" s="65" t="n"/>
      <c r="K58" s="65" t="n"/>
      <c r="L58" s="66" t="n"/>
      <c r="M58" s="65">
        <f>IF(L58="","",INT((L58-Config!$B$9+WEEKDAY(Config!$B$9,2)-1)/7)+1)</f>
        <v/>
      </c>
      <c r="N58" s="66">
        <f>IF(L58="","",L58-2)</f>
        <v/>
      </c>
      <c r="O58" s="65" t="n"/>
      <c r="P58" s="65" t="n"/>
      <c r="Q58" s="65" t="n"/>
    </row>
    <row r="59">
      <c r="A59" s="65" t="n"/>
      <c r="B59" s="65" t="n"/>
      <c r="C59" s="65" t="n"/>
      <c r="D59" s="65" t="n"/>
      <c r="E59" s="65" t="n"/>
      <c r="F59" s="65" t="n"/>
      <c r="G59" s="65" t="n"/>
      <c r="H59" s="65" t="n"/>
      <c r="I59" s="65" t="n"/>
      <c r="J59" s="65" t="n"/>
      <c r="K59" s="65" t="n"/>
      <c r="L59" s="66" t="n"/>
      <c r="M59" s="65">
        <f>IF(L59="","",INT((L59-Config!$B$9+WEEKDAY(Config!$B$9,2)-1)/7)+1)</f>
        <v/>
      </c>
      <c r="N59" s="66">
        <f>IF(L59="","",L59-2)</f>
        <v/>
      </c>
      <c r="O59" s="65" t="n"/>
      <c r="P59" s="65" t="n"/>
      <c r="Q59" s="65" t="n"/>
    </row>
    <row r="60">
      <c r="A60" s="65" t="n"/>
      <c r="B60" s="65" t="n"/>
      <c r="C60" s="65" t="n"/>
      <c r="D60" s="65" t="n"/>
      <c r="E60" s="65" t="n"/>
      <c r="F60" s="65" t="n"/>
      <c r="G60" s="65" t="n"/>
      <c r="H60" s="65" t="n"/>
      <c r="I60" s="65" t="n"/>
      <c r="J60" s="65" t="n"/>
      <c r="K60" s="65" t="n"/>
      <c r="L60" s="66" t="n"/>
      <c r="M60" s="65">
        <f>IF(L60="","",INT((L60-Config!$B$9+WEEKDAY(Config!$B$9,2)-1)/7)+1)</f>
        <v/>
      </c>
      <c r="N60" s="66">
        <f>IF(L60="","",L60-2)</f>
        <v/>
      </c>
      <c r="O60" s="65" t="n"/>
      <c r="P60" s="65" t="n"/>
      <c r="Q60" s="65" t="n"/>
    </row>
    <row r="61">
      <c r="A61" s="65" t="n"/>
      <c r="B61" s="65" t="n"/>
      <c r="C61" s="65" t="n"/>
      <c r="D61" s="65" t="n"/>
      <c r="E61" s="65" t="n"/>
      <c r="F61" s="65" t="n"/>
      <c r="G61" s="65" t="n"/>
      <c r="H61" s="65" t="n"/>
      <c r="I61" s="65" t="n"/>
      <c r="J61" s="65" t="n"/>
      <c r="K61" s="65" t="n"/>
      <c r="L61" s="66" t="n"/>
      <c r="M61" s="65">
        <f>IF(L61="","",INT((L61-Config!$B$9+WEEKDAY(Config!$B$9,2)-1)/7)+1)</f>
        <v/>
      </c>
      <c r="N61" s="66">
        <f>IF(L61="","",L61-2)</f>
        <v/>
      </c>
      <c r="O61" s="65" t="n"/>
      <c r="P61" s="65" t="n"/>
      <c r="Q61" s="65" t="n"/>
    </row>
    <row r="62">
      <c r="A62" s="65" t="n"/>
      <c r="B62" s="65" t="n"/>
      <c r="C62" s="65" t="n"/>
      <c r="D62" s="65" t="n"/>
      <c r="E62" s="65" t="n"/>
      <c r="F62" s="65" t="n"/>
      <c r="G62" s="65" t="n"/>
      <c r="H62" s="65" t="n"/>
      <c r="I62" s="65" t="n"/>
      <c r="J62" s="65" t="n"/>
      <c r="K62" s="65" t="n"/>
      <c r="L62" s="66" t="n"/>
      <c r="M62" s="65">
        <f>IF(L62="","",INT((L62-Config!$B$9+WEEKDAY(Config!$B$9,2)-1)/7)+1)</f>
        <v/>
      </c>
      <c r="N62" s="66">
        <f>IF(L62="","",L62-2)</f>
        <v/>
      </c>
      <c r="O62" s="65" t="n"/>
      <c r="P62" s="65" t="n"/>
      <c r="Q62" s="65" t="n"/>
    </row>
    <row r="63">
      <c r="A63" s="65" t="n"/>
      <c r="B63" s="65" t="n"/>
      <c r="C63" s="65" t="n"/>
      <c r="D63" s="65" t="n"/>
      <c r="E63" s="65" t="n"/>
      <c r="F63" s="65" t="n"/>
      <c r="G63" s="65" t="n"/>
      <c r="H63" s="65" t="n"/>
      <c r="I63" s="65" t="n"/>
      <c r="J63" s="65" t="n"/>
      <c r="K63" s="65" t="n"/>
      <c r="L63" s="66" t="n"/>
      <c r="M63" s="65">
        <f>IF(L63="","",INT((L63-Config!$B$9+WEEKDAY(Config!$B$9,2)-1)/7)+1)</f>
        <v/>
      </c>
      <c r="N63" s="66">
        <f>IF(L63="","",L63-2)</f>
        <v/>
      </c>
      <c r="O63" s="65" t="n"/>
      <c r="P63" s="65" t="n"/>
      <c r="Q63" s="65" t="n"/>
    </row>
    <row r="64">
      <c r="A64" s="65" t="n"/>
      <c r="B64" s="65" t="n"/>
      <c r="C64" s="65" t="n"/>
      <c r="D64" s="65" t="n"/>
      <c r="E64" s="65" t="n"/>
      <c r="F64" s="65" t="n"/>
      <c r="G64" s="65" t="n"/>
      <c r="H64" s="65" t="n"/>
      <c r="I64" s="65" t="n"/>
      <c r="J64" s="65" t="n"/>
      <c r="K64" s="65" t="n"/>
      <c r="L64" s="66" t="n"/>
      <c r="M64" s="65">
        <f>IF(L64="","",INT((L64-Config!$B$9+WEEKDAY(Config!$B$9,2)-1)/7)+1)</f>
        <v/>
      </c>
      <c r="N64" s="66">
        <f>IF(L64="","",L64-2)</f>
        <v/>
      </c>
      <c r="O64" s="65" t="n"/>
      <c r="P64" s="65" t="n"/>
      <c r="Q64" s="65" t="n"/>
    </row>
    <row r="65">
      <c r="A65" s="65" t="n"/>
      <c r="B65" s="65" t="n"/>
      <c r="C65" s="65" t="n"/>
      <c r="D65" s="65" t="n"/>
      <c r="E65" s="65" t="n"/>
      <c r="F65" s="65" t="n"/>
      <c r="G65" s="65" t="n"/>
      <c r="H65" s="65" t="n"/>
      <c r="I65" s="65" t="n"/>
      <c r="J65" s="65" t="n"/>
      <c r="K65" s="65" t="n"/>
      <c r="L65" s="66" t="n"/>
      <c r="M65" s="65">
        <f>IF(L65="","",INT((L65-Config!$B$9+WEEKDAY(Config!$B$9,2)-1)/7)+1)</f>
        <v/>
      </c>
      <c r="N65" s="66">
        <f>IF(L65="","",L65-2)</f>
        <v/>
      </c>
      <c r="O65" s="65" t="n"/>
      <c r="P65" s="65" t="n"/>
      <c r="Q65" s="65" t="n"/>
    </row>
    <row r="66">
      <c r="A66" s="65" t="n"/>
      <c r="B66" s="65" t="n"/>
      <c r="C66" s="65" t="n"/>
      <c r="D66" s="65" t="n"/>
      <c r="E66" s="65" t="n"/>
      <c r="F66" s="65" t="n"/>
      <c r="G66" s="65" t="n"/>
      <c r="H66" s="65" t="n"/>
      <c r="I66" s="65" t="n"/>
      <c r="J66" s="65" t="n"/>
      <c r="K66" s="65" t="n"/>
      <c r="L66" s="66" t="n"/>
      <c r="M66" s="65">
        <f>IF(L66="","",INT((L66-Config!$B$9+WEEKDAY(Config!$B$9,2)-1)/7)+1)</f>
        <v/>
      </c>
      <c r="N66" s="66">
        <f>IF(L66="","",L66-2)</f>
        <v/>
      </c>
      <c r="O66" s="65" t="n"/>
      <c r="P66" s="65" t="n"/>
      <c r="Q66" s="65" t="n"/>
    </row>
    <row r="67">
      <c r="A67" s="65" t="n"/>
      <c r="B67" s="65" t="n"/>
      <c r="C67" s="65" t="n"/>
      <c r="D67" s="65" t="n"/>
      <c r="E67" s="65" t="n"/>
      <c r="F67" s="65" t="n"/>
      <c r="G67" s="65" t="n"/>
      <c r="H67" s="65" t="n"/>
      <c r="I67" s="65" t="n"/>
      <c r="J67" s="65" t="n"/>
      <c r="K67" s="65" t="n"/>
      <c r="L67" s="66" t="n"/>
      <c r="M67" s="65">
        <f>IF(L67="","",INT((L67-Config!$B$9+WEEKDAY(Config!$B$9,2)-1)/7)+1)</f>
        <v/>
      </c>
      <c r="N67" s="66">
        <f>IF(L67="","",L67-2)</f>
        <v/>
      </c>
      <c r="O67" s="65" t="n"/>
      <c r="P67" s="65" t="n"/>
      <c r="Q67" s="65" t="n"/>
    </row>
    <row r="68">
      <c r="A68" s="65" t="n"/>
      <c r="B68" s="65" t="n"/>
      <c r="C68" s="65" t="n"/>
      <c r="D68" s="65" t="n"/>
      <c r="E68" s="65" t="n"/>
      <c r="F68" s="65" t="n"/>
      <c r="G68" s="65" t="n"/>
      <c r="H68" s="65" t="n"/>
      <c r="I68" s="65" t="n"/>
      <c r="J68" s="65" t="n"/>
      <c r="K68" s="65" t="n"/>
      <c r="L68" s="66" t="n"/>
      <c r="M68" s="65">
        <f>IF(L68="","",INT((L68-Config!$B$9+WEEKDAY(Config!$B$9,2)-1)/7)+1)</f>
        <v/>
      </c>
      <c r="N68" s="66">
        <f>IF(L68="","",L68-2)</f>
        <v/>
      </c>
      <c r="O68" s="65" t="n"/>
      <c r="P68" s="65" t="n"/>
      <c r="Q68" s="65" t="n"/>
    </row>
    <row r="69">
      <c r="A69" s="65" t="n"/>
      <c r="B69" s="65" t="n"/>
      <c r="C69" s="65" t="n"/>
      <c r="D69" s="65" t="n"/>
      <c r="E69" s="65" t="n"/>
      <c r="F69" s="65" t="n"/>
      <c r="G69" s="65" t="n"/>
      <c r="H69" s="65" t="n"/>
      <c r="I69" s="65" t="n"/>
      <c r="J69" s="65" t="n"/>
      <c r="K69" s="65" t="n"/>
      <c r="L69" s="66" t="n"/>
      <c r="M69" s="65">
        <f>IF(L69="","",INT((L69-Config!$B$9+WEEKDAY(Config!$B$9,2)-1)/7)+1)</f>
        <v/>
      </c>
      <c r="N69" s="66">
        <f>IF(L69="","",L69-2)</f>
        <v/>
      </c>
      <c r="O69" s="65" t="n"/>
      <c r="P69" s="65" t="n"/>
      <c r="Q69" s="65" t="n"/>
    </row>
    <row r="70">
      <c r="A70" s="65" t="n"/>
      <c r="B70" s="65" t="n"/>
      <c r="C70" s="65" t="n"/>
      <c r="D70" s="65" t="n"/>
      <c r="E70" s="65" t="n"/>
      <c r="F70" s="65" t="n"/>
      <c r="G70" s="65" t="n"/>
      <c r="H70" s="65" t="n"/>
      <c r="I70" s="65" t="n"/>
      <c r="J70" s="65" t="n"/>
      <c r="K70" s="65" t="n"/>
      <c r="L70" s="66" t="n"/>
      <c r="M70" s="65">
        <f>IF(L70="","",INT((L70-Config!$B$9+WEEKDAY(Config!$B$9,2)-1)/7)+1)</f>
        <v/>
      </c>
      <c r="N70" s="66">
        <f>IF(L70="","",L70-2)</f>
        <v/>
      </c>
      <c r="O70" s="65" t="n"/>
      <c r="P70" s="65" t="n"/>
      <c r="Q70" s="65" t="n"/>
    </row>
    <row r="71">
      <c r="A71" s="65" t="n"/>
      <c r="B71" s="65" t="n"/>
      <c r="C71" s="65" t="n"/>
      <c r="D71" s="65" t="n"/>
      <c r="E71" s="65" t="n"/>
      <c r="F71" s="65" t="n"/>
      <c r="G71" s="65" t="n"/>
      <c r="H71" s="65" t="n"/>
      <c r="I71" s="65" t="n"/>
      <c r="J71" s="65" t="n"/>
      <c r="K71" s="65" t="n"/>
      <c r="L71" s="66" t="n"/>
      <c r="M71" s="65">
        <f>IF(L71="","",INT((L71-Config!$B$9+WEEKDAY(Config!$B$9,2)-1)/7)+1)</f>
        <v/>
      </c>
      <c r="N71" s="66">
        <f>IF(L71="","",L71-2)</f>
        <v/>
      </c>
      <c r="O71" s="65" t="n"/>
      <c r="P71" s="65" t="n"/>
      <c r="Q71" s="65" t="n"/>
    </row>
    <row r="72">
      <c r="A72" s="65" t="n"/>
      <c r="B72" s="65" t="n"/>
      <c r="C72" s="65" t="n"/>
      <c r="D72" s="65" t="n"/>
      <c r="E72" s="65" t="n"/>
      <c r="F72" s="65" t="n"/>
      <c r="G72" s="65" t="n"/>
      <c r="H72" s="65" t="n"/>
      <c r="I72" s="65" t="n"/>
      <c r="J72" s="65" t="n"/>
      <c r="K72" s="65" t="n"/>
      <c r="L72" s="66" t="n"/>
      <c r="M72" s="65">
        <f>IF(L72="","",INT((L72-Config!$B$9+WEEKDAY(Config!$B$9,2)-1)/7)+1)</f>
        <v/>
      </c>
      <c r="N72" s="66">
        <f>IF(L72="","",L72-2)</f>
        <v/>
      </c>
      <c r="O72" s="65" t="n"/>
      <c r="P72" s="65" t="n"/>
      <c r="Q72" s="65" t="n"/>
    </row>
    <row r="73">
      <c r="A73" s="65" t="n"/>
      <c r="B73" s="65" t="n"/>
      <c r="C73" s="65" t="n"/>
      <c r="D73" s="65" t="n"/>
      <c r="E73" s="65" t="n"/>
      <c r="F73" s="65" t="n"/>
      <c r="G73" s="65" t="n"/>
      <c r="H73" s="65" t="n"/>
      <c r="I73" s="65" t="n"/>
      <c r="J73" s="65" t="n"/>
      <c r="K73" s="65" t="n"/>
      <c r="L73" s="66" t="n"/>
      <c r="M73" s="65">
        <f>IF(L73="","",INT((L73-Config!$B$9+WEEKDAY(Config!$B$9,2)-1)/7)+1)</f>
        <v/>
      </c>
      <c r="N73" s="66">
        <f>IF(L73="","",L73-2)</f>
        <v/>
      </c>
      <c r="O73" s="65" t="n"/>
      <c r="P73" s="65" t="n"/>
      <c r="Q73" s="65" t="n"/>
    </row>
    <row r="74">
      <c r="A74" s="65" t="n"/>
      <c r="B74" s="65" t="n"/>
      <c r="C74" s="65" t="n"/>
      <c r="D74" s="65" t="n"/>
      <c r="E74" s="65" t="n"/>
      <c r="F74" s="65" t="n"/>
      <c r="G74" s="65" t="n"/>
      <c r="H74" s="65" t="n"/>
      <c r="I74" s="65" t="n"/>
      <c r="J74" s="65" t="n"/>
      <c r="K74" s="65" t="n"/>
      <c r="L74" s="66" t="n"/>
      <c r="M74" s="65">
        <f>IF(L74="","",INT((L74-Config!$B$9+WEEKDAY(Config!$B$9,2)-1)/7)+1)</f>
        <v/>
      </c>
      <c r="N74" s="66">
        <f>IF(L74="","",L74-2)</f>
        <v/>
      </c>
      <c r="O74" s="65" t="n"/>
      <c r="P74" s="65" t="n"/>
      <c r="Q74" s="65" t="n"/>
    </row>
    <row r="75">
      <c r="A75" s="65" t="n"/>
      <c r="B75" s="65" t="n"/>
      <c r="C75" s="65" t="n"/>
      <c r="D75" s="65" t="n"/>
      <c r="E75" s="65" t="n"/>
      <c r="F75" s="65" t="n"/>
      <c r="G75" s="65" t="n"/>
      <c r="H75" s="65" t="n"/>
      <c r="I75" s="65" t="n"/>
      <c r="J75" s="65" t="n"/>
      <c r="K75" s="65" t="n"/>
      <c r="L75" s="66" t="n"/>
      <c r="M75" s="65">
        <f>IF(L75="","",INT((L75-Config!$B$9+WEEKDAY(Config!$B$9,2)-1)/7)+1)</f>
        <v/>
      </c>
      <c r="N75" s="66">
        <f>IF(L75="","",L75-2)</f>
        <v/>
      </c>
      <c r="O75" s="65" t="n"/>
      <c r="P75" s="65" t="n"/>
      <c r="Q75" s="65" t="n"/>
    </row>
    <row r="76">
      <c r="A76" s="65" t="n"/>
      <c r="B76" s="65" t="n"/>
      <c r="C76" s="65" t="n"/>
      <c r="D76" s="65" t="n"/>
      <c r="E76" s="65" t="n"/>
      <c r="F76" s="65" t="n"/>
      <c r="G76" s="65" t="n"/>
      <c r="H76" s="65" t="n"/>
      <c r="I76" s="65" t="n"/>
      <c r="J76" s="65" t="n"/>
      <c r="K76" s="65" t="n"/>
      <c r="L76" s="66" t="n"/>
      <c r="M76" s="65">
        <f>IF(L76="","",INT((L76-Config!$B$9+WEEKDAY(Config!$B$9,2)-1)/7)+1)</f>
        <v/>
      </c>
      <c r="N76" s="66">
        <f>IF(L76="","",L76-2)</f>
        <v/>
      </c>
      <c r="O76" s="65" t="n"/>
      <c r="P76" s="65" t="n"/>
      <c r="Q76" s="65" t="n"/>
    </row>
    <row r="77">
      <c r="A77" s="65" t="n"/>
      <c r="B77" s="65" t="n"/>
      <c r="C77" s="65" t="n"/>
      <c r="D77" s="65" t="n"/>
      <c r="E77" s="65" t="n"/>
      <c r="F77" s="65" t="n"/>
      <c r="G77" s="65" t="n"/>
      <c r="H77" s="65" t="n"/>
      <c r="I77" s="65" t="n"/>
      <c r="J77" s="65" t="n"/>
      <c r="K77" s="65" t="n"/>
      <c r="L77" s="66" t="n"/>
      <c r="M77" s="65">
        <f>IF(L77="","",INT((L77-Config!$B$9+WEEKDAY(Config!$B$9,2)-1)/7)+1)</f>
        <v/>
      </c>
      <c r="N77" s="66">
        <f>IF(L77="","",L77-2)</f>
        <v/>
      </c>
      <c r="O77" s="65" t="n"/>
      <c r="P77" s="65" t="n"/>
      <c r="Q77" s="65" t="n"/>
    </row>
    <row r="78">
      <c r="A78" s="65" t="n"/>
      <c r="B78" s="65" t="n"/>
      <c r="C78" s="65" t="n"/>
      <c r="D78" s="65" t="n"/>
      <c r="E78" s="65" t="n"/>
      <c r="F78" s="65" t="n"/>
      <c r="G78" s="65" t="n"/>
      <c r="H78" s="65" t="n"/>
      <c r="I78" s="65" t="n"/>
      <c r="J78" s="65" t="n"/>
      <c r="K78" s="65" t="n"/>
      <c r="L78" s="66" t="n"/>
      <c r="M78" s="65">
        <f>IF(L78="","",INT((L78-Config!$B$9+WEEKDAY(Config!$B$9,2)-1)/7)+1)</f>
        <v/>
      </c>
      <c r="N78" s="66">
        <f>IF(L78="","",L78-2)</f>
        <v/>
      </c>
      <c r="O78" s="65" t="n"/>
      <c r="P78" s="65" t="n"/>
      <c r="Q78" s="65" t="n"/>
    </row>
    <row r="79">
      <c r="A79" s="65" t="n"/>
      <c r="B79" s="65" t="n"/>
      <c r="C79" s="65" t="n"/>
      <c r="D79" s="65" t="n"/>
      <c r="E79" s="65" t="n"/>
      <c r="F79" s="65" t="n"/>
      <c r="G79" s="65" t="n"/>
      <c r="H79" s="65" t="n"/>
      <c r="I79" s="65" t="n"/>
      <c r="J79" s="65" t="n"/>
      <c r="K79" s="65" t="n"/>
      <c r="L79" s="66" t="n"/>
      <c r="M79" s="65">
        <f>IF(L79="","",INT((L79-Config!$B$9+WEEKDAY(Config!$B$9,2)-1)/7)+1)</f>
        <v/>
      </c>
      <c r="N79" s="66">
        <f>IF(L79="","",L79-2)</f>
        <v/>
      </c>
      <c r="O79" s="65" t="n"/>
      <c r="P79" s="65" t="n"/>
      <c r="Q79" s="65" t="n"/>
    </row>
    <row r="80">
      <c r="A80" s="65" t="n"/>
      <c r="B80" s="65" t="n"/>
      <c r="C80" s="65" t="n"/>
      <c r="D80" s="65" t="n"/>
      <c r="E80" s="65" t="n"/>
      <c r="F80" s="65" t="n"/>
      <c r="G80" s="65" t="n"/>
      <c r="H80" s="65" t="n"/>
      <c r="I80" s="65" t="n"/>
      <c r="J80" s="65" t="n"/>
      <c r="K80" s="65" t="n"/>
      <c r="L80" s="66" t="n"/>
      <c r="M80" s="65">
        <f>IF(L80="","",INT((L80-Config!$B$9+WEEKDAY(Config!$B$9,2)-1)/7)+1)</f>
        <v/>
      </c>
      <c r="N80" s="66">
        <f>IF(L80="","",L80-2)</f>
        <v/>
      </c>
      <c r="O80" s="65" t="n"/>
      <c r="P80" s="65" t="n"/>
      <c r="Q80" s="65" t="n"/>
    </row>
    <row r="81">
      <c r="A81" s="65" t="n"/>
      <c r="B81" s="65" t="n"/>
      <c r="C81" s="65" t="n"/>
      <c r="D81" s="65" t="n"/>
      <c r="E81" s="65" t="n"/>
      <c r="F81" s="65" t="n"/>
      <c r="G81" s="65" t="n"/>
      <c r="H81" s="65" t="n"/>
      <c r="I81" s="65" t="n"/>
      <c r="J81" s="65" t="n"/>
      <c r="K81" s="65" t="n"/>
      <c r="L81" s="66" t="n"/>
      <c r="M81" s="65">
        <f>IF(L81="","",INT((L81-Config!$B$9+WEEKDAY(Config!$B$9,2)-1)/7)+1)</f>
        <v/>
      </c>
      <c r="N81" s="66">
        <f>IF(L81="","",L81-2)</f>
        <v/>
      </c>
      <c r="O81" s="65" t="n"/>
      <c r="P81" s="65" t="n"/>
      <c r="Q81" s="65" t="n"/>
    </row>
    <row r="82">
      <c r="A82" s="65" t="n"/>
      <c r="B82" s="65" t="n"/>
      <c r="C82" s="65" t="n"/>
      <c r="D82" s="65" t="n"/>
      <c r="E82" s="65" t="n"/>
      <c r="F82" s="65" t="n"/>
      <c r="G82" s="65" t="n"/>
      <c r="H82" s="65" t="n"/>
      <c r="I82" s="65" t="n"/>
      <c r="J82" s="65" t="n"/>
      <c r="K82" s="65" t="n"/>
      <c r="L82" s="66" t="n"/>
      <c r="M82" s="65">
        <f>IF(L82="","",INT((L82-Config!$B$9+WEEKDAY(Config!$B$9,2)-1)/7)+1)</f>
        <v/>
      </c>
      <c r="N82" s="66">
        <f>IF(L82="","",L82-2)</f>
        <v/>
      </c>
      <c r="O82" s="65" t="n"/>
      <c r="P82" s="65" t="n"/>
      <c r="Q82" s="65" t="n"/>
    </row>
    <row r="83">
      <c r="A83" s="65" t="n"/>
      <c r="B83" s="65" t="n"/>
      <c r="C83" s="65" t="n"/>
      <c r="D83" s="65" t="n"/>
      <c r="E83" s="65" t="n"/>
      <c r="F83" s="65" t="n"/>
      <c r="G83" s="65" t="n"/>
      <c r="H83" s="65" t="n"/>
      <c r="I83" s="65" t="n"/>
      <c r="J83" s="65" t="n"/>
      <c r="K83" s="65" t="n"/>
      <c r="L83" s="66" t="n"/>
      <c r="M83" s="65">
        <f>IF(L83="","",INT((L83-Config!$B$9+WEEKDAY(Config!$B$9,2)-1)/7)+1)</f>
        <v/>
      </c>
      <c r="N83" s="66">
        <f>IF(L83="","",L83-2)</f>
        <v/>
      </c>
      <c r="O83" s="65" t="n"/>
      <c r="P83" s="65" t="n"/>
      <c r="Q83" s="65" t="n"/>
    </row>
    <row r="84">
      <c r="A84" s="65" t="n"/>
      <c r="B84" s="65" t="n"/>
      <c r="C84" s="65" t="n"/>
      <c r="D84" s="65" t="n"/>
      <c r="E84" s="65" t="n"/>
      <c r="F84" s="65" t="n"/>
      <c r="G84" s="65" t="n"/>
      <c r="H84" s="65" t="n"/>
      <c r="I84" s="65" t="n"/>
      <c r="J84" s="65" t="n"/>
      <c r="K84" s="65" t="n"/>
      <c r="L84" s="66" t="n"/>
      <c r="M84" s="65">
        <f>IF(L84="","",INT((L84-Config!$B$9+WEEKDAY(Config!$B$9,2)-1)/7)+1)</f>
        <v/>
      </c>
      <c r="N84" s="66">
        <f>IF(L84="","",L84-2)</f>
        <v/>
      </c>
      <c r="O84" s="65" t="n"/>
      <c r="P84" s="65" t="n"/>
      <c r="Q84" s="65" t="n"/>
    </row>
    <row r="85">
      <c r="A85" s="65" t="n"/>
      <c r="B85" s="65" t="n"/>
      <c r="C85" s="65" t="n"/>
      <c r="D85" s="65" t="n"/>
      <c r="E85" s="65" t="n"/>
      <c r="F85" s="65" t="n"/>
      <c r="G85" s="65" t="n"/>
      <c r="H85" s="65" t="n"/>
      <c r="I85" s="65" t="n"/>
      <c r="J85" s="65" t="n"/>
      <c r="K85" s="65" t="n"/>
      <c r="L85" s="66" t="n"/>
      <c r="M85" s="65">
        <f>IF(L85="","",INT((L85-Config!$B$9+WEEKDAY(Config!$B$9,2)-1)/7)+1)</f>
        <v/>
      </c>
      <c r="N85" s="66">
        <f>IF(L85="","",L85-2)</f>
        <v/>
      </c>
      <c r="O85" s="65" t="n"/>
      <c r="P85" s="65" t="n"/>
      <c r="Q85" s="65" t="n"/>
    </row>
    <row r="86">
      <c r="A86" s="65" t="n"/>
      <c r="B86" s="65" t="n"/>
      <c r="C86" s="65" t="n"/>
      <c r="D86" s="65" t="n"/>
      <c r="E86" s="65" t="n"/>
      <c r="F86" s="65" t="n"/>
      <c r="G86" s="65" t="n"/>
      <c r="H86" s="65" t="n"/>
      <c r="I86" s="65" t="n"/>
      <c r="J86" s="65" t="n"/>
      <c r="K86" s="65" t="n"/>
      <c r="L86" s="66" t="n"/>
      <c r="M86" s="65">
        <f>IF(L86="","",INT((L86-Config!$B$9+WEEKDAY(Config!$B$9,2)-1)/7)+1)</f>
        <v/>
      </c>
      <c r="N86" s="66">
        <f>IF(L86="","",L86-2)</f>
        <v/>
      </c>
      <c r="O86" s="65" t="n"/>
      <c r="P86" s="65" t="n"/>
      <c r="Q86" s="65" t="n"/>
    </row>
    <row r="87">
      <c r="A87" s="65" t="n"/>
      <c r="B87" s="65" t="n"/>
      <c r="C87" s="65" t="n"/>
      <c r="D87" s="65" t="n"/>
      <c r="E87" s="65" t="n"/>
      <c r="F87" s="65" t="n"/>
      <c r="G87" s="65" t="n"/>
      <c r="H87" s="65" t="n"/>
      <c r="I87" s="65" t="n"/>
      <c r="J87" s="65" t="n"/>
      <c r="K87" s="65" t="n"/>
      <c r="L87" s="66" t="n"/>
      <c r="M87" s="65">
        <f>IF(L87="","",INT((L87-Config!$B$9+WEEKDAY(Config!$B$9,2)-1)/7)+1)</f>
        <v/>
      </c>
      <c r="N87" s="66">
        <f>IF(L87="","",L87-2)</f>
        <v/>
      </c>
      <c r="O87" s="65" t="n"/>
      <c r="P87" s="65" t="n"/>
      <c r="Q87" s="65" t="n"/>
    </row>
    <row r="88">
      <c r="A88" s="65" t="n"/>
      <c r="B88" s="65" t="n"/>
      <c r="C88" s="65" t="n"/>
      <c r="D88" s="65" t="n"/>
      <c r="E88" s="65" t="n"/>
      <c r="F88" s="65" t="n"/>
      <c r="G88" s="65" t="n"/>
      <c r="H88" s="65" t="n"/>
      <c r="I88" s="65" t="n"/>
      <c r="J88" s="65" t="n"/>
      <c r="K88" s="65" t="n"/>
      <c r="L88" s="66" t="n"/>
      <c r="M88" s="65">
        <f>IF(L88="","",INT((L88-Config!$B$9+WEEKDAY(Config!$B$9,2)-1)/7)+1)</f>
        <v/>
      </c>
      <c r="N88" s="66">
        <f>IF(L88="","",L88-2)</f>
        <v/>
      </c>
      <c r="O88" s="65" t="n"/>
      <c r="P88" s="65" t="n"/>
      <c r="Q88" s="65" t="n"/>
    </row>
    <row r="89">
      <c r="A89" s="65" t="n"/>
      <c r="B89" s="65" t="n"/>
      <c r="C89" s="65" t="n"/>
      <c r="D89" s="65" t="n"/>
      <c r="E89" s="65" t="n"/>
      <c r="F89" s="65" t="n"/>
      <c r="G89" s="65" t="n"/>
      <c r="H89" s="65" t="n"/>
      <c r="I89" s="65" t="n"/>
      <c r="J89" s="65" t="n"/>
      <c r="K89" s="65" t="n"/>
      <c r="L89" s="66" t="n"/>
      <c r="M89" s="65">
        <f>IF(L89="","",INT((L89-Config!$B$9+WEEKDAY(Config!$B$9,2)-1)/7)+1)</f>
        <v/>
      </c>
      <c r="N89" s="66">
        <f>IF(L89="","",L89-2)</f>
        <v/>
      </c>
      <c r="O89" s="65" t="n"/>
      <c r="P89" s="65" t="n"/>
      <c r="Q89" s="65" t="n"/>
    </row>
    <row r="90">
      <c r="A90" s="65" t="n"/>
      <c r="B90" s="65" t="n"/>
      <c r="C90" s="65" t="n"/>
      <c r="D90" s="65" t="n"/>
      <c r="E90" s="65" t="n"/>
      <c r="F90" s="65" t="n"/>
      <c r="G90" s="65" t="n"/>
      <c r="H90" s="65" t="n"/>
      <c r="I90" s="65" t="n"/>
      <c r="J90" s="65" t="n"/>
      <c r="K90" s="65" t="n"/>
      <c r="L90" s="66" t="n"/>
      <c r="M90" s="65">
        <f>IF(L90="","",INT((L90-Config!$B$9+WEEKDAY(Config!$B$9,2)-1)/7)+1)</f>
        <v/>
      </c>
      <c r="N90" s="66">
        <f>IF(L90="","",L90-2)</f>
        <v/>
      </c>
      <c r="O90" s="65" t="n"/>
      <c r="P90" s="65" t="n"/>
      <c r="Q90" s="65" t="n"/>
    </row>
    <row r="91">
      <c r="A91" s="65" t="n"/>
      <c r="B91" s="65" t="n"/>
      <c r="C91" s="65" t="n"/>
      <c r="D91" s="65" t="n"/>
      <c r="E91" s="65" t="n"/>
      <c r="F91" s="65" t="n"/>
      <c r="G91" s="65" t="n"/>
      <c r="H91" s="65" t="n"/>
      <c r="I91" s="65" t="n"/>
      <c r="J91" s="65" t="n"/>
      <c r="K91" s="65" t="n"/>
      <c r="L91" s="66" t="n"/>
      <c r="M91" s="65">
        <f>IF(L91="","",INT((L91-Config!$B$9+WEEKDAY(Config!$B$9,2)-1)/7)+1)</f>
        <v/>
      </c>
      <c r="N91" s="66">
        <f>IF(L91="","",L91-2)</f>
        <v/>
      </c>
      <c r="O91" s="65" t="n"/>
      <c r="P91" s="65" t="n"/>
      <c r="Q91" s="65" t="n"/>
    </row>
    <row r="92">
      <c r="A92" s="65" t="n"/>
      <c r="B92" s="65" t="n"/>
      <c r="C92" s="65" t="n"/>
      <c r="D92" s="65" t="n"/>
      <c r="E92" s="65" t="n"/>
      <c r="F92" s="65" t="n"/>
      <c r="G92" s="65" t="n"/>
      <c r="H92" s="65" t="n"/>
      <c r="I92" s="65" t="n"/>
      <c r="J92" s="65" t="n"/>
      <c r="K92" s="65" t="n"/>
      <c r="L92" s="66" t="n"/>
      <c r="M92" s="65">
        <f>IF(L92="","",INT((L92-Config!$B$9+WEEKDAY(Config!$B$9,2)-1)/7)+1)</f>
        <v/>
      </c>
      <c r="N92" s="66">
        <f>IF(L92="","",L92-2)</f>
        <v/>
      </c>
      <c r="O92" s="65" t="n"/>
      <c r="P92" s="65" t="n"/>
      <c r="Q92" s="65" t="n"/>
    </row>
    <row r="93">
      <c r="A93" s="65" t="n"/>
      <c r="B93" s="65" t="n"/>
      <c r="C93" s="65" t="n"/>
      <c r="D93" s="65" t="n"/>
      <c r="E93" s="65" t="n"/>
      <c r="F93" s="65" t="n"/>
      <c r="G93" s="65" t="n"/>
      <c r="H93" s="65" t="n"/>
      <c r="I93" s="65" t="n"/>
      <c r="J93" s="65" t="n"/>
      <c r="K93" s="65" t="n"/>
      <c r="L93" s="66" t="n"/>
      <c r="M93" s="65">
        <f>IF(L93="","",INT((L93-Config!$B$9+WEEKDAY(Config!$B$9,2)-1)/7)+1)</f>
        <v/>
      </c>
      <c r="N93" s="66">
        <f>IF(L93="","",L93-2)</f>
        <v/>
      </c>
      <c r="O93" s="65" t="n"/>
      <c r="P93" s="65" t="n"/>
      <c r="Q93" s="65" t="n"/>
    </row>
    <row r="94">
      <c r="A94" s="65" t="n"/>
      <c r="B94" s="65" t="n"/>
      <c r="C94" s="65" t="n"/>
      <c r="D94" s="65" t="n"/>
      <c r="E94" s="65" t="n"/>
      <c r="F94" s="65" t="n"/>
      <c r="G94" s="65" t="n"/>
      <c r="H94" s="65" t="n"/>
      <c r="I94" s="65" t="n"/>
      <c r="J94" s="65" t="n"/>
      <c r="K94" s="65" t="n"/>
      <c r="L94" s="66" t="n"/>
      <c r="M94" s="65">
        <f>IF(L94="","",INT((L94-Config!$B$9+WEEKDAY(Config!$B$9,2)-1)/7)+1)</f>
        <v/>
      </c>
      <c r="N94" s="66">
        <f>IF(L94="","",L94-2)</f>
        <v/>
      </c>
      <c r="O94" s="65" t="n"/>
      <c r="P94" s="65" t="n"/>
      <c r="Q94" s="65" t="n"/>
    </row>
    <row r="95">
      <c r="A95" s="65" t="n"/>
      <c r="B95" s="65" t="n"/>
      <c r="C95" s="65" t="n"/>
      <c r="D95" s="65" t="n"/>
      <c r="E95" s="65" t="n"/>
      <c r="F95" s="65" t="n"/>
      <c r="G95" s="65" t="n"/>
      <c r="H95" s="65" t="n"/>
      <c r="I95" s="65" t="n"/>
      <c r="J95" s="65" t="n"/>
      <c r="K95" s="65" t="n"/>
      <c r="L95" s="66" t="n"/>
      <c r="M95" s="65">
        <f>IF(L95="","",INT((L95-Config!$B$9+WEEKDAY(Config!$B$9,2)-1)/7)+1)</f>
        <v/>
      </c>
      <c r="N95" s="66">
        <f>IF(L95="","",L95-2)</f>
        <v/>
      </c>
      <c r="O95" s="65" t="n"/>
      <c r="P95" s="65" t="n"/>
      <c r="Q95" s="65" t="n"/>
    </row>
    <row r="96">
      <c r="A96" s="65" t="n"/>
      <c r="B96" s="65" t="n"/>
      <c r="C96" s="65" t="n"/>
      <c r="D96" s="65" t="n"/>
      <c r="E96" s="65" t="n"/>
      <c r="F96" s="65" t="n"/>
      <c r="G96" s="65" t="n"/>
      <c r="H96" s="65" t="n"/>
      <c r="I96" s="65" t="n"/>
      <c r="J96" s="65" t="n"/>
      <c r="K96" s="65" t="n"/>
      <c r="L96" s="66" t="n"/>
      <c r="M96" s="65">
        <f>IF(L96="","",INT((L96-Config!$B$9+WEEKDAY(Config!$B$9,2)-1)/7)+1)</f>
        <v/>
      </c>
      <c r="N96" s="66">
        <f>IF(L96="","",L96-2)</f>
        <v/>
      </c>
      <c r="O96" s="65" t="n"/>
      <c r="P96" s="65" t="n"/>
      <c r="Q96" s="65" t="n"/>
    </row>
    <row r="97">
      <c r="A97" s="65" t="n"/>
      <c r="B97" s="65" t="n"/>
      <c r="C97" s="65" t="n"/>
      <c r="D97" s="65" t="n"/>
      <c r="E97" s="65" t="n"/>
      <c r="F97" s="65" t="n"/>
      <c r="G97" s="65" t="n"/>
      <c r="H97" s="65" t="n"/>
      <c r="I97" s="65" t="n"/>
      <c r="J97" s="65" t="n"/>
      <c r="K97" s="65" t="n"/>
      <c r="L97" s="66" t="n"/>
      <c r="M97" s="65">
        <f>IF(L97="","",INT((L97-Config!$B$9+WEEKDAY(Config!$B$9,2)-1)/7)+1)</f>
        <v/>
      </c>
      <c r="N97" s="66">
        <f>IF(L97="","",L97-2)</f>
        <v/>
      </c>
      <c r="O97" s="65" t="n"/>
      <c r="P97" s="65" t="n"/>
      <c r="Q97" s="65" t="n"/>
    </row>
    <row r="98">
      <c r="A98" s="65" t="n"/>
      <c r="B98" s="65" t="n"/>
      <c r="C98" s="65" t="n"/>
      <c r="D98" s="65" t="n"/>
      <c r="E98" s="65" t="n"/>
      <c r="F98" s="65" t="n"/>
      <c r="G98" s="65" t="n"/>
      <c r="H98" s="65" t="n"/>
      <c r="I98" s="65" t="n"/>
      <c r="J98" s="65" t="n"/>
      <c r="K98" s="65" t="n"/>
      <c r="L98" s="66" t="n"/>
      <c r="M98" s="65">
        <f>IF(L98="","",INT((L98-Config!$B$9+WEEKDAY(Config!$B$9,2)-1)/7)+1)</f>
        <v/>
      </c>
      <c r="N98" s="66">
        <f>IF(L98="","",L98-2)</f>
        <v/>
      </c>
      <c r="O98" s="65" t="n"/>
      <c r="P98" s="65" t="n"/>
      <c r="Q98" s="65" t="n"/>
    </row>
    <row r="99">
      <c r="A99" s="65" t="n"/>
      <c r="B99" s="65" t="n"/>
      <c r="C99" s="65" t="n"/>
      <c r="D99" s="65" t="n"/>
      <c r="E99" s="65" t="n"/>
      <c r="F99" s="65" t="n"/>
      <c r="G99" s="65" t="n"/>
      <c r="H99" s="65" t="n"/>
      <c r="I99" s="65" t="n"/>
      <c r="J99" s="65" t="n"/>
      <c r="K99" s="65" t="n"/>
      <c r="L99" s="66" t="n"/>
      <c r="M99" s="65">
        <f>IF(L99="","",INT((L99-Config!$B$9+WEEKDAY(Config!$B$9,2)-1)/7)+1)</f>
        <v/>
      </c>
      <c r="N99" s="66">
        <f>IF(L99="","",L99-2)</f>
        <v/>
      </c>
      <c r="O99" s="65" t="n"/>
      <c r="P99" s="65" t="n"/>
      <c r="Q99" s="65" t="n"/>
    </row>
    <row r="100">
      <c r="A100" s="65" t="n"/>
      <c r="B100" s="65" t="n"/>
      <c r="C100" s="65" t="n"/>
      <c r="D100" s="65" t="n"/>
      <c r="E100" s="65" t="n"/>
      <c r="F100" s="65" t="n"/>
      <c r="G100" s="65" t="n"/>
      <c r="H100" s="65" t="n"/>
      <c r="I100" s="65" t="n"/>
      <c r="J100" s="65" t="n"/>
      <c r="K100" s="65" t="n"/>
      <c r="L100" s="66" t="n"/>
      <c r="M100" s="65">
        <f>IF(L100="","",INT((L100-Config!$B$9+WEEKDAY(Config!$B$9,2)-1)/7)+1)</f>
        <v/>
      </c>
      <c r="N100" s="66">
        <f>IF(L100="","",L100-2)</f>
        <v/>
      </c>
      <c r="O100" s="65" t="n"/>
      <c r="P100" s="65" t="n"/>
      <c r="Q100" s="65" t="n"/>
    </row>
    <row r="101">
      <c r="A101" s="65" t="n"/>
      <c r="B101" s="65" t="n"/>
      <c r="C101" s="65" t="n"/>
      <c r="D101" s="65" t="n"/>
      <c r="E101" s="65" t="n"/>
      <c r="F101" s="65" t="n"/>
      <c r="G101" s="65" t="n"/>
      <c r="H101" s="65" t="n"/>
      <c r="I101" s="65" t="n"/>
      <c r="J101" s="65" t="n"/>
      <c r="K101" s="65" t="n"/>
      <c r="L101" s="66" t="n"/>
      <c r="M101" s="65">
        <f>IF(L101="","",INT((L101-Config!$B$9+WEEKDAY(Config!$B$9,2)-1)/7)+1)</f>
        <v/>
      </c>
      <c r="N101" s="66">
        <f>IF(L101="","",L101-2)</f>
        <v/>
      </c>
      <c r="O101" s="65" t="n"/>
      <c r="P101" s="65" t="n"/>
      <c r="Q101" s="65" t="n"/>
    </row>
    <row r="102">
      <c r="A102" s="65" t="n"/>
      <c r="B102" s="65" t="n"/>
      <c r="C102" s="65" t="n"/>
      <c r="D102" s="65" t="n"/>
      <c r="E102" s="65" t="n"/>
      <c r="F102" s="65" t="n"/>
      <c r="G102" s="65" t="n"/>
      <c r="H102" s="65" t="n"/>
      <c r="I102" s="65" t="n"/>
      <c r="J102" s="65" t="n"/>
      <c r="K102" s="65" t="n"/>
      <c r="L102" s="66" t="n"/>
      <c r="M102" s="65">
        <f>IF(L102="","",INT((L102-Config!$B$9+WEEKDAY(Config!$B$9,2)-1)/7)+1)</f>
        <v/>
      </c>
      <c r="N102" s="66">
        <f>IF(L102="","",L102-2)</f>
        <v/>
      </c>
      <c r="O102" s="65" t="n"/>
      <c r="P102" s="65" t="n"/>
      <c r="Q102" s="65" t="n"/>
    </row>
    <row r="103">
      <c r="A103" s="65" t="n"/>
      <c r="B103" s="65" t="n"/>
      <c r="C103" s="65" t="n"/>
      <c r="D103" s="65" t="n"/>
      <c r="E103" s="65" t="n"/>
      <c r="F103" s="65" t="n"/>
      <c r="G103" s="65" t="n"/>
      <c r="H103" s="65" t="n"/>
      <c r="I103" s="65" t="n"/>
      <c r="J103" s="65" t="n"/>
      <c r="K103" s="65" t="n"/>
      <c r="L103" s="66" t="n"/>
      <c r="M103" s="65">
        <f>IF(L103="","",INT((L103-Config!$B$9+WEEKDAY(Config!$B$9,2)-1)/7)+1)</f>
        <v/>
      </c>
      <c r="N103" s="66">
        <f>IF(L103="","",L103-2)</f>
        <v/>
      </c>
      <c r="O103" s="65" t="n"/>
      <c r="P103" s="65" t="n"/>
      <c r="Q103" s="65" t="n"/>
    </row>
    <row r="104">
      <c r="A104" s="65" t="n"/>
      <c r="B104" s="65" t="n"/>
      <c r="C104" s="65" t="n"/>
      <c r="D104" s="65" t="n"/>
      <c r="E104" s="65" t="n"/>
      <c r="F104" s="65" t="n"/>
      <c r="G104" s="65" t="n"/>
      <c r="H104" s="65" t="n"/>
      <c r="I104" s="65" t="n"/>
      <c r="J104" s="65" t="n"/>
      <c r="K104" s="65" t="n"/>
      <c r="L104" s="66" t="n"/>
      <c r="M104" s="65">
        <f>IF(L104="","",INT((L104-Config!$B$9+WEEKDAY(Config!$B$9,2)-1)/7)+1)</f>
        <v/>
      </c>
      <c r="N104" s="66">
        <f>IF(L104="","",L104-2)</f>
        <v/>
      </c>
      <c r="O104" s="65" t="n"/>
      <c r="P104" s="65" t="n"/>
      <c r="Q104" s="65" t="n"/>
    </row>
  </sheetData>
  <mergeCells count="2">
    <mergeCell ref="A2:Q2"/>
    <mergeCell ref="A1:Q1"/>
  </mergeCells>
  <conditionalFormatting sqref="P5:P104">
    <cfRule type="cellIs" priority="1" operator="equal" dxfId="6">
      <formula>"Published"</formula>
    </cfRule>
    <cfRule type="cellIs" priority="2" operator="equal" dxfId="7">
      <formula>"Draft"</formula>
    </cfRule>
    <cfRule type="cellIs" priority="3" operator="equal" dxfId="8">
      <formula>"Approved"</formula>
    </cfRule>
    <cfRule type="cellIs" priority="4" operator="equal" dxfId="9">
      <formula>"Review"</formula>
    </cfRule>
  </conditionalFormatting>
  <dataValidations count="5">
    <dataValidation sqref="C5:C104" showDropDown="0" showInputMessage="0" showErrorMessage="0" allowBlank="1" type="list">
      <formula1>"Hero,Hub,Hygiene"</formula1>
    </dataValidation>
    <dataValidation sqref="K5:K104" showDropDown="0" showInputMessage="0" showErrorMessage="0" allowBlank="1" type="list">
      <formula1>"Facebook,Zalo OA,Website,TikTok,Email"</formula1>
    </dataValidation>
    <dataValidation sqref="P5:P104" showDropDown="0" showInputMessage="0" showErrorMessage="0" allowBlank="1" type="list">
      <formula1>"Draft,Review,Approved,Published"</formula1>
    </dataValidation>
    <dataValidation sqref="D5:D104" showDropDown="0" showInputMessage="0" showErrorMessage="0" allowBlank="1" type="list">
      <formula1>"TOFU,MOFU,BOFU"</formula1>
    </dataValidation>
    <dataValidation sqref="L5:L104" showDropDown="0" showInputMessage="1" showErrorMessage="1" allowBlank="1" errorTitle="Ngày không hợp lệ" error="Vui lòng nhập một ngày hợp lệ theo định dạng dd/mm/yyyy (ví dụ 25/12/2026)." promptTitle="Nhập Ngày đăng" prompt="Nhập theo định dạng dd/mm/yyyy (ví dụ 25/12/2026). Ô đã đặt sẵn number format dd/mm/yyyy." type="date" operator="between">
      <formula1>DATE(2000,1,1)</formula1>
      <formula2>DATE(2100,12,31)</formula2>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10" customWidth="1" min="3" max="3"/>
    <col width="14" customWidth="1" min="4" max="4"/>
    <col width="26" customWidth="1" min="5" max="5"/>
    <col width="26" customWidth="1" min="6" max="6"/>
    <col width="26" customWidth="1" min="7" max="7"/>
    <col width="20" customWidth="1" min="8" max="8"/>
    <col width="40" customWidth="1" min="9" max="9"/>
    <col width="26" customWidth="1" min="10" max="10"/>
    <col width="12" customWidth="1" min="11" max="11"/>
    <col width="12" customWidth="1" min="12" max="12"/>
    <col width="10" customWidth="1" min="13" max="13"/>
    <col width="12" customWidth="1" min="14" max="14"/>
    <col width="16" customWidth="1" min="15" max="15"/>
    <col width="12" customWidth="1" min="16" max="16"/>
    <col width="22" customWidth="1" min="17" max="17"/>
  </cols>
  <sheetData>
    <row r="1" ht="28" customHeight="1">
      <c r="A1" s="71" t="inlineStr">
        <is>
          <t>PILLAR 4: [Điền tên chủ đề Pillar 4]</t>
        </is>
      </c>
    </row>
    <row r="2" ht="18" customHeight="1">
      <c r="A2" s="63" t="inlineStr">
        <is>
          <t>Persona: [Điền tên/mô tả Persona mục tiêu]  |  Thương hiệu: [Điền tên thương hiệu]  |  Pillar này đăng vào: Tuần 4  (Xem đầy đủ cấu hình tại sheet Config)</t>
        </is>
      </c>
    </row>
    <row r="4" ht="32" customHeight="1">
      <c r="A4" s="72" t="inlineStr">
        <is>
          <t>Mã Cluster</t>
        </is>
      </c>
      <c r="B4" s="72" t="inlineStr">
        <is>
          <t>Tên bài/Chủ đề</t>
        </is>
      </c>
      <c r="C4" s="72" t="inlineStr">
        <is>
          <t>Loại 3H</t>
        </is>
      </c>
      <c r="D4" s="72" t="inlineStr">
        <is>
          <t>Mục tiêu phễu
(TOFU/MOFU/BOFU)</t>
        </is>
      </c>
      <c r="E4" s="72" t="inlineStr">
        <is>
          <t>Persona mục tiêu</t>
        </is>
      </c>
      <c r="F4" s="72" t="inlineStr">
        <is>
          <t>Từ khóa chính</t>
        </is>
      </c>
      <c r="G4" s="72" t="inlineStr">
        <is>
          <t>Tone giọng điệu</t>
        </is>
      </c>
      <c r="H4" s="72" t="inlineStr">
        <is>
          <t>Độ dài mong muốn</t>
        </is>
      </c>
      <c r="I4" s="72" t="inlineStr">
        <is>
          <t>Outline/Dàn ý chính</t>
        </is>
      </c>
      <c r="J4" s="72" t="inlineStr">
        <is>
          <t>CTA mong muốn</t>
        </is>
      </c>
      <c r="K4" s="72" t="inlineStr">
        <is>
          <t>Kênh đăng</t>
        </is>
      </c>
      <c r="L4" s="72" t="inlineStr">
        <is>
          <t>Ngày đăng</t>
        </is>
      </c>
      <c r="M4" s="72" t="inlineStr">
        <is>
          <t>Tuần (auto)</t>
        </is>
      </c>
      <c r="N4" s="72" t="inlineStr">
        <is>
          <t>Deadline</t>
        </is>
      </c>
      <c r="O4" s="72" t="inlineStr">
        <is>
          <t>Người phụ trách</t>
        </is>
      </c>
      <c r="P4" s="72" t="inlineStr">
        <is>
          <t>Trạng thái</t>
        </is>
      </c>
      <c r="Q4" s="72" t="inlineStr">
        <is>
          <t>KPI dự kiến</t>
        </is>
      </c>
    </row>
    <row r="5">
      <c r="A5" s="65" t="n"/>
      <c r="B5" s="65" t="n"/>
      <c r="C5" s="65" t="n"/>
      <c r="D5" s="65" t="n"/>
      <c r="E5" s="65" t="n"/>
      <c r="F5" s="65" t="n"/>
      <c r="G5" s="65" t="n"/>
      <c r="H5" s="65" t="n"/>
      <c r="I5" s="65" t="n"/>
      <c r="J5" s="65" t="n"/>
      <c r="K5" s="65" t="n"/>
      <c r="L5" s="66" t="n"/>
      <c r="M5" s="65">
        <f>IF(L5="","",INT((L5-Config!$B$9+WEEKDAY(Config!$B$9,2)-1)/7)+1)</f>
        <v/>
      </c>
      <c r="N5" s="66">
        <f>IF(L5="","",L5-2)</f>
        <v/>
      </c>
      <c r="O5" s="65" t="n"/>
      <c r="P5" s="65" t="n"/>
      <c r="Q5" s="65" t="n"/>
    </row>
    <row r="6">
      <c r="A6" s="65" t="n"/>
      <c r="B6" s="65" t="n"/>
      <c r="C6" s="65" t="n"/>
      <c r="D6" s="65" t="n"/>
      <c r="E6" s="65" t="n"/>
      <c r="F6" s="65" t="n"/>
      <c r="G6" s="65" t="n"/>
      <c r="H6" s="65" t="n"/>
      <c r="I6" s="65" t="n"/>
      <c r="J6" s="65" t="n"/>
      <c r="K6" s="65" t="n"/>
      <c r="L6" s="66" t="n"/>
      <c r="M6" s="65">
        <f>IF(L6="","",INT((L6-Config!$B$9+WEEKDAY(Config!$B$9,2)-1)/7)+1)</f>
        <v/>
      </c>
      <c r="N6" s="66">
        <f>IF(L6="","",L6-2)</f>
        <v/>
      </c>
      <c r="O6" s="65" t="n"/>
      <c r="P6" s="65" t="n"/>
      <c r="Q6" s="65" t="n"/>
    </row>
    <row r="7">
      <c r="A7" s="65" t="n"/>
      <c r="B7" s="65" t="n"/>
      <c r="C7" s="65" t="n"/>
      <c r="D7" s="65" t="n"/>
      <c r="E7" s="65" t="n"/>
      <c r="F7" s="65" t="n"/>
      <c r="G7" s="65" t="n"/>
      <c r="H7" s="65" t="n"/>
      <c r="I7" s="65" t="n"/>
      <c r="J7" s="65" t="n"/>
      <c r="K7" s="65" t="n"/>
      <c r="L7" s="66" t="n"/>
      <c r="M7" s="65">
        <f>IF(L7="","",INT((L7-Config!$B$9+WEEKDAY(Config!$B$9,2)-1)/7)+1)</f>
        <v/>
      </c>
      <c r="N7" s="66">
        <f>IF(L7="","",L7-2)</f>
        <v/>
      </c>
      <c r="O7" s="65" t="n"/>
      <c r="P7" s="65" t="n"/>
      <c r="Q7" s="65" t="n"/>
    </row>
    <row r="8">
      <c r="A8" s="65" t="n"/>
      <c r="B8" s="65" t="n"/>
      <c r="C8" s="65" t="n"/>
      <c r="D8" s="65" t="n"/>
      <c r="E8" s="65" t="n"/>
      <c r="F8" s="65" t="n"/>
      <c r="G8" s="65" t="n"/>
      <c r="H8" s="65" t="n"/>
      <c r="I8" s="65" t="n"/>
      <c r="J8" s="65" t="n"/>
      <c r="K8" s="65" t="n"/>
      <c r="L8" s="66" t="n"/>
      <c r="M8" s="65">
        <f>IF(L8="","",INT((L8-Config!$B$9+WEEKDAY(Config!$B$9,2)-1)/7)+1)</f>
        <v/>
      </c>
      <c r="N8" s="66">
        <f>IF(L8="","",L8-2)</f>
        <v/>
      </c>
      <c r="O8" s="65" t="n"/>
      <c r="P8" s="65" t="n"/>
      <c r="Q8" s="65" t="n"/>
    </row>
    <row r="9">
      <c r="A9" s="65" t="n"/>
      <c r="B9" s="65" t="n"/>
      <c r="C9" s="65" t="n"/>
      <c r="D9" s="65" t="n"/>
      <c r="E9" s="65" t="n"/>
      <c r="F9" s="65" t="n"/>
      <c r="G9" s="65" t="n"/>
      <c r="H9" s="65" t="n"/>
      <c r="I9" s="65" t="n"/>
      <c r="J9" s="65" t="n"/>
      <c r="K9" s="65" t="n"/>
      <c r="L9" s="66" t="n"/>
      <c r="M9" s="65">
        <f>IF(L9="","",INT((L9-Config!$B$9+WEEKDAY(Config!$B$9,2)-1)/7)+1)</f>
        <v/>
      </c>
      <c r="N9" s="66">
        <f>IF(L9="","",L9-2)</f>
        <v/>
      </c>
      <c r="O9" s="65" t="n"/>
      <c r="P9" s="65" t="n"/>
      <c r="Q9" s="65" t="n"/>
    </row>
    <row r="10">
      <c r="A10" s="65" t="n"/>
      <c r="B10" s="65" t="n"/>
      <c r="C10" s="65" t="n"/>
      <c r="D10" s="65" t="n"/>
      <c r="E10" s="65" t="n"/>
      <c r="F10" s="65" t="n"/>
      <c r="G10" s="65" t="n"/>
      <c r="H10" s="65" t="n"/>
      <c r="I10" s="65" t="n"/>
      <c r="J10" s="65" t="n"/>
      <c r="K10" s="65" t="n"/>
      <c r="L10" s="66" t="n"/>
      <c r="M10" s="65">
        <f>IF(L10="","",INT((L10-Config!$B$9+WEEKDAY(Config!$B$9,2)-1)/7)+1)</f>
        <v/>
      </c>
      <c r="N10" s="66">
        <f>IF(L10="","",L10-2)</f>
        <v/>
      </c>
      <c r="O10" s="65" t="n"/>
      <c r="P10" s="65" t="n"/>
      <c r="Q10" s="65" t="n"/>
    </row>
    <row r="11">
      <c r="A11" s="65" t="n"/>
      <c r="B11" s="65" t="n"/>
      <c r="C11" s="65" t="n"/>
      <c r="D11" s="65" t="n"/>
      <c r="E11" s="65" t="n"/>
      <c r="F11" s="65" t="n"/>
      <c r="G11" s="65" t="n"/>
      <c r="H11" s="65" t="n"/>
      <c r="I11" s="65" t="n"/>
      <c r="J11" s="65" t="n"/>
      <c r="K11" s="65" t="n"/>
      <c r="L11" s="66" t="n"/>
      <c r="M11" s="65">
        <f>IF(L11="","",INT((L11-Config!$B$9+WEEKDAY(Config!$B$9,2)-1)/7)+1)</f>
        <v/>
      </c>
      <c r="N11" s="66">
        <f>IF(L11="","",L11-2)</f>
        <v/>
      </c>
      <c r="O11" s="65" t="n"/>
      <c r="P11" s="65" t="n"/>
      <c r="Q11" s="65" t="n"/>
    </row>
    <row r="12">
      <c r="A12" s="65" t="n"/>
      <c r="B12" s="65" t="n"/>
      <c r="C12" s="65" t="n"/>
      <c r="D12" s="65" t="n"/>
      <c r="E12" s="65" t="n"/>
      <c r="F12" s="65" t="n"/>
      <c r="G12" s="65" t="n"/>
      <c r="H12" s="65" t="n"/>
      <c r="I12" s="65" t="n"/>
      <c r="J12" s="65" t="n"/>
      <c r="K12" s="65" t="n"/>
      <c r="L12" s="66" t="n"/>
      <c r="M12" s="65">
        <f>IF(L12="","",INT((L12-Config!$B$9+WEEKDAY(Config!$B$9,2)-1)/7)+1)</f>
        <v/>
      </c>
      <c r="N12" s="66">
        <f>IF(L12="","",L12-2)</f>
        <v/>
      </c>
      <c r="O12" s="65" t="n"/>
      <c r="P12" s="65" t="n"/>
      <c r="Q12" s="65" t="n"/>
    </row>
    <row r="13">
      <c r="A13" s="65" t="n"/>
      <c r="B13" s="65" t="n"/>
      <c r="C13" s="65" t="n"/>
      <c r="D13" s="65" t="n"/>
      <c r="E13" s="65" t="n"/>
      <c r="F13" s="65" t="n"/>
      <c r="G13" s="65" t="n"/>
      <c r="H13" s="65" t="n"/>
      <c r="I13" s="65" t="n"/>
      <c r="J13" s="65" t="n"/>
      <c r="K13" s="65" t="n"/>
      <c r="L13" s="66" t="n"/>
      <c r="M13" s="65">
        <f>IF(L13="","",INT((L13-Config!$B$9+WEEKDAY(Config!$B$9,2)-1)/7)+1)</f>
        <v/>
      </c>
      <c r="N13" s="66">
        <f>IF(L13="","",L13-2)</f>
        <v/>
      </c>
      <c r="O13" s="65" t="n"/>
      <c r="P13" s="65" t="n"/>
      <c r="Q13" s="65" t="n"/>
    </row>
    <row r="14">
      <c r="A14" s="65" t="n"/>
      <c r="B14" s="65" t="n"/>
      <c r="C14" s="65" t="n"/>
      <c r="D14" s="65" t="n"/>
      <c r="E14" s="65" t="n"/>
      <c r="F14" s="65" t="n"/>
      <c r="G14" s="65" t="n"/>
      <c r="H14" s="65" t="n"/>
      <c r="I14" s="65" t="n"/>
      <c r="J14" s="65" t="n"/>
      <c r="K14" s="65" t="n"/>
      <c r="L14" s="66" t="n"/>
      <c r="M14" s="65">
        <f>IF(L14="","",INT((L14-Config!$B$9+WEEKDAY(Config!$B$9,2)-1)/7)+1)</f>
        <v/>
      </c>
      <c r="N14" s="66">
        <f>IF(L14="","",L14-2)</f>
        <v/>
      </c>
      <c r="O14" s="65" t="n"/>
      <c r="P14" s="65" t="n"/>
      <c r="Q14" s="65" t="n"/>
    </row>
    <row r="15">
      <c r="A15" s="65" t="n"/>
      <c r="B15" s="65" t="n"/>
      <c r="C15" s="65" t="n"/>
      <c r="D15" s="65" t="n"/>
      <c r="E15" s="65" t="n"/>
      <c r="F15" s="65" t="n"/>
      <c r="G15" s="65" t="n"/>
      <c r="H15" s="65" t="n"/>
      <c r="I15" s="65" t="n"/>
      <c r="J15" s="65" t="n"/>
      <c r="K15" s="65" t="n"/>
      <c r="L15" s="66" t="n"/>
      <c r="M15" s="65">
        <f>IF(L15="","",INT((L15-Config!$B$9+WEEKDAY(Config!$B$9,2)-1)/7)+1)</f>
        <v/>
      </c>
      <c r="N15" s="66">
        <f>IF(L15="","",L15-2)</f>
        <v/>
      </c>
      <c r="O15" s="65" t="n"/>
      <c r="P15" s="65" t="n"/>
      <c r="Q15" s="65" t="n"/>
    </row>
    <row r="16">
      <c r="A16" s="65" t="n"/>
      <c r="B16" s="65" t="n"/>
      <c r="C16" s="65" t="n"/>
      <c r="D16" s="65" t="n"/>
      <c r="E16" s="65" t="n"/>
      <c r="F16" s="65" t="n"/>
      <c r="G16" s="65" t="n"/>
      <c r="H16" s="65" t="n"/>
      <c r="I16" s="65" t="n"/>
      <c r="J16" s="65" t="n"/>
      <c r="K16" s="65" t="n"/>
      <c r="L16" s="66" t="n"/>
      <c r="M16" s="65">
        <f>IF(L16="","",INT((L16-Config!$B$9+WEEKDAY(Config!$B$9,2)-1)/7)+1)</f>
        <v/>
      </c>
      <c r="N16" s="66">
        <f>IF(L16="","",L16-2)</f>
        <v/>
      </c>
      <c r="O16" s="65" t="n"/>
      <c r="P16" s="65" t="n"/>
      <c r="Q16" s="65" t="n"/>
    </row>
    <row r="17">
      <c r="A17" s="65" t="n"/>
      <c r="B17" s="65" t="n"/>
      <c r="C17" s="65" t="n"/>
      <c r="D17" s="65" t="n"/>
      <c r="E17" s="65" t="n"/>
      <c r="F17" s="65" t="n"/>
      <c r="G17" s="65" t="n"/>
      <c r="H17" s="65" t="n"/>
      <c r="I17" s="65" t="n"/>
      <c r="J17" s="65" t="n"/>
      <c r="K17" s="65" t="n"/>
      <c r="L17" s="66" t="n"/>
      <c r="M17" s="65">
        <f>IF(L17="","",INT((L17-Config!$B$9+WEEKDAY(Config!$B$9,2)-1)/7)+1)</f>
        <v/>
      </c>
      <c r="N17" s="66">
        <f>IF(L17="","",L17-2)</f>
        <v/>
      </c>
      <c r="O17" s="65" t="n"/>
      <c r="P17" s="65" t="n"/>
      <c r="Q17" s="65" t="n"/>
    </row>
    <row r="18">
      <c r="A18" s="65" t="n"/>
      <c r="B18" s="65" t="n"/>
      <c r="C18" s="65" t="n"/>
      <c r="D18" s="65" t="n"/>
      <c r="E18" s="65" t="n"/>
      <c r="F18" s="65" t="n"/>
      <c r="G18" s="65" t="n"/>
      <c r="H18" s="65" t="n"/>
      <c r="I18" s="65" t="n"/>
      <c r="J18" s="65" t="n"/>
      <c r="K18" s="65" t="n"/>
      <c r="L18" s="66" t="n"/>
      <c r="M18" s="65">
        <f>IF(L18="","",INT((L18-Config!$B$9+WEEKDAY(Config!$B$9,2)-1)/7)+1)</f>
        <v/>
      </c>
      <c r="N18" s="66">
        <f>IF(L18="","",L18-2)</f>
        <v/>
      </c>
      <c r="O18" s="65" t="n"/>
      <c r="P18" s="65" t="n"/>
      <c r="Q18" s="65" t="n"/>
    </row>
    <row r="19">
      <c r="A19" s="65" t="n"/>
      <c r="B19" s="65" t="n"/>
      <c r="C19" s="65" t="n"/>
      <c r="D19" s="65" t="n"/>
      <c r="E19" s="65" t="n"/>
      <c r="F19" s="65" t="n"/>
      <c r="G19" s="65" t="n"/>
      <c r="H19" s="65" t="n"/>
      <c r="I19" s="65" t="n"/>
      <c r="J19" s="65" t="n"/>
      <c r="K19" s="65" t="n"/>
      <c r="L19" s="66" t="n"/>
      <c r="M19" s="65">
        <f>IF(L19="","",INT((L19-Config!$B$9+WEEKDAY(Config!$B$9,2)-1)/7)+1)</f>
        <v/>
      </c>
      <c r="N19" s="66">
        <f>IF(L19="","",L19-2)</f>
        <v/>
      </c>
      <c r="O19" s="65" t="n"/>
      <c r="P19" s="65" t="n"/>
      <c r="Q19" s="65" t="n"/>
    </row>
    <row r="20">
      <c r="A20" s="65" t="n"/>
      <c r="B20" s="65" t="n"/>
      <c r="C20" s="65" t="n"/>
      <c r="D20" s="65" t="n"/>
      <c r="E20" s="65" t="n"/>
      <c r="F20" s="65" t="n"/>
      <c r="G20" s="65" t="n"/>
      <c r="H20" s="65" t="n"/>
      <c r="I20" s="65" t="n"/>
      <c r="J20" s="65" t="n"/>
      <c r="K20" s="65" t="n"/>
      <c r="L20" s="66" t="n"/>
      <c r="M20" s="65">
        <f>IF(L20="","",INT((L20-Config!$B$9+WEEKDAY(Config!$B$9,2)-1)/7)+1)</f>
        <v/>
      </c>
      <c r="N20" s="66">
        <f>IF(L20="","",L20-2)</f>
        <v/>
      </c>
      <c r="O20" s="65" t="n"/>
      <c r="P20" s="65" t="n"/>
      <c r="Q20" s="65" t="n"/>
    </row>
    <row r="21">
      <c r="A21" s="65" t="n"/>
      <c r="B21" s="65" t="n"/>
      <c r="C21" s="65" t="n"/>
      <c r="D21" s="65" t="n"/>
      <c r="E21" s="65" t="n"/>
      <c r="F21" s="65" t="n"/>
      <c r="G21" s="65" t="n"/>
      <c r="H21" s="65" t="n"/>
      <c r="I21" s="65" t="n"/>
      <c r="J21" s="65" t="n"/>
      <c r="K21" s="65" t="n"/>
      <c r="L21" s="66" t="n"/>
      <c r="M21" s="65">
        <f>IF(L21="","",INT((L21-Config!$B$9+WEEKDAY(Config!$B$9,2)-1)/7)+1)</f>
        <v/>
      </c>
      <c r="N21" s="66">
        <f>IF(L21="","",L21-2)</f>
        <v/>
      </c>
      <c r="O21" s="65" t="n"/>
      <c r="P21" s="65" t="n"/>
      <c r="Q21" s="65" t="n"/>
    </row>
    <row r="22">
      <c r="A22" s="65" t="n"/>
      <c r="B22" s="65" t="n"/>
      <c r="C22" s="65" t="n"/>
      <c r="D22" s="65" t="n"/>
      <c r="E22" s="65" t="n"/>
      <c r="F22" s="65" t="n"/>
      <c r="G22" s="65" t="n"/>
      <c r="H22" s="65" t="n"/>
      <c r="I22" s="65" t="n"/>
      <c r="J22" s="65" t="n"/>
      <c r="K22" s="65" t="n"/>
      <c r="L22" s="66" t="n"/>
      <c r="M22" s="65">
        <f>IF(L22="","",INT((L22-Config!$B$9+WEEKDAY(Config!$B$9,2)-1)/7)+1)</f>
        <v/>
      </c>
      <c r="N22" s="66">
        <f>IF(L22="","",L22-2)</f>
        <v/>
      </c>
      <c r="O22" s="65" t="n"/>
      <c r="P22" s="65" t="n"/>
      <c r="Q22" s="65" t="n"/>
    </row>
    <row r="23">
      <c r="A23" s="65" t="n"/>
      <c r="B23" s="65" t="n"/>
      <c r="C23" s="65" t="n"/>
      <c r="D23" s="65" t="n"/>
      <c r="E23" s="65" t="n"/>
      <c r="F23" s="65" t="n"/>
      <c r="G23" s="65" t="n"/>
      <c r="H23" s="65" t="n"/>
      <c r="I23" s="65" t="n"/>
      <c r="J23" s="65" t="n"/>
      <c r="K23" s="65" t="n"/>
      <c r="L23" s="66" t="n"/>
      <c r="M23" s="65">
        <f>IF(L23="","",INT((L23-Config!$B$9+WEEKDAY(Config!$B$9,2)-1)/7)+1)</f>
        <v/>
      </c>
      <c r="N23" s="66">
        <f>IF(L23="","",L23-2)</f>
        <v/>
      </c>
      <c r="O23" s="65" t="n"/>
      <c r="P23" s="65" t="n"/>
      <c r="Q23" s="65" t="n"/>
    </row>
    <row r="24">
      <c r="A24" s="65" t="n"/>
      <c r="B24" s="65" t="n"/>
      <c r="C24" s="65" t="n"/>
      <c r="D24" s="65" t="n"/>
      <c r="E24" s="65" t="n"/>
      <c r="F24" s="65" t="n"/>
      <c r="G24" s="65" t="n"/>
      <c r="H24" s="65" t="n"/>
      <c r="I24" s="65" t="n"/>
      <c r="J24" s="65" t="n"/>
      <c r="K24" s="65" t="n"/>
      <c r="L24" s="66" t="n"/>
      <c r="M24" s="65">
        <f>IF(L24="","",INT((L24-Config!$B$9+WEEKDAY(Config!$B$9,2)-1)/7)+1)</f>
        <v/>
      </c>
      <c r="N24" s="66">
        <f>IF(L24="","",L24-2)</f>
        <v/>
      </c>
      <c r="O24" s="65" t="n"/>
      <c r="P24" s="65" t="n"/>
      <c r="Q24" s="65" t="n"/>
    </row>
    <row r="25">
      <c r="A25" s="65" t="n"/>
      <c r="B25" s="65" t="n"/>
      <c r="C25" s="65" t="n"/>
      <c r="D25" s="65" t="n"/>
      <c r="E25" s="65" t="n"/>
      <c r="F25" s="65" t="n"/>
      <c r="G25" s="65" t="n"/>
      <c r="H25" s="65" t="n"/>
      <c r="I25" s="65" t="n"/>
      <c r="J25" s="65" t="n"/>
      <c r="K25" s="65" t="n"/>
      <c r="L25" s="66" t="n"/>
      <c r="M25" s="65">
        <f>IF(L25="","",INT((L25-Config!$B$9+WEEKDAY(Config!$B$9,2)-1)/7)+1)</f>
        <v/>
      </c>
      <c r="N25" s="66">
        <f>IF(L25="","",L25-2)</f>
        <v/>
      </c>
      <c r="O25" s="65" t="n"/>
      <c r="P25" s="65" t="n"/>
      <c r="Q25" s="65" t="n"/>
    </row>
    <row r="26">
      <c r="A26" s="65" t="n"/>
      <c r="B26" s="65" t="n"/>
      <c r="C26" s="65" t="n"/>
      <c r="D26" s="65" t="n"/>
      <c r="E26" s="65" t="n"/>
      <c r="F26" s="65" t="n"/>
      <c r="G26" s="65" t="n"/>
      <c r="H26" s="65" t="n"/>
      <c r="I26" s="65" t="n"/>
      <c r="J26" s="65" t="n"/>
      <c r="K26" s="65" t="n"/>
      <c r="L26" s="66" t="n"/>
      <c r="M26" s="65">
        <f>IF(L26="","",INT((L26-Config!$B$9+WEEKDAY(Config!$B$9,2)-1)/7)+1)</f>
        <v/>
      </c>
      <c r="N26" s="66">
        <f>IF(L26="","",L26-2)</f>
        <v/>
      </c>
      <c r="O26" s="65" t="n"/>
      <c r="P26" s="65" t="n"/>
      <c r="Q26" s="65" t="n"/>
    </row>
    <row r="27">
      <c r="A27" s="65" t="n"/>
      <c r="B27" s="65" t="n"/>
      <c r="C27" s="65" t="n"/>
      <c r="D27" s="65" t="n"/>
      <c r="E27" s="65" t="n"/>
      <c r="F27" s="65" t="n"/>
      <c r="G27" s="65" t="n"/>
      <c r="H27" s="65" t="n"/>
      <c r="I27" s="65" t="n"/>
      <c r="J27" s="65" t="n"/>
      <c r="K27" s="65" t="n"/>
      <c r="L27" s="66" t="n"/>
      <c r="M27" s="65">
        <f>IF(L27="","",INT((L27-Config!$B$9+WEEKDAY(Config!$B$9,2)-1)/7)+1)</f>
        <v/>
      </c>
      <c r="N27" s="66">
        <f>IF(L27="","",L27-2)</f>
        <v/>
      </c>
      <c r="O27" s="65" t="n"/>
      <c r="P27" s="65" t="n"/>
      <c r="Q27" s="65" t="n"/>
    </row>
    <row r="28">
      <c r="A28" s="65" t="n"/>
      <c r="B28" s="65" t="n"/>
      <c r="C28" s="65" t="n"/>
      <c r="D28" s="65" t="n"/>
      <c r="E28" s="65" t="n"/>
      <c r="F28" s="65" t="n"/>
      <c r="G28" s="65" t="n"/>
      <c r="H28" s="65" t="n"/>
      <c r="I28" s="65" t="n"/>
      <c r="J28" s="65" t="n"/>
      <c r="K28" s="65" t="n"/>
      <c r="L28" s="66" t="n"/>
      <c r="M28" s="65">
        <f>IF(L28="","",INT((L28-Config!$B$9+WEEKDAY(Config!$B$9,2)-1)/7)+1)</f>
        <v/>
      </c>
      <c r="N28" s="66">
        <f>IF(L28="","",L28-2)</f>
        <v/>
      </c>
      <c r="O28" s="65" t="n"/>
      <c r="P28" s="65" t="n"/>
      <c r="Q28" s="65" t="n"/>
    </row>
    <row r="29">
      <c r="A29" s="65" t="n"/>
      <c r="B29" s="65" t="n"/>
      <c r="C29" s="65" t="n"/>
      <c r="D29" s="65" t="n"/>
      <c r="E29" s="65" t="n"/>
      <c r="F29" s="65" t="n"/>
      <c r="G29" s="65" t="n"/>
      <c r="H29" s="65" t="n"/>
      <c r="I29" s="65" t="n"/>
      <c r="J29" s="65" t="n"/>
      <c r="K29" s="65" t="n"/>
      <c r="L29" s="66" t="n"/>
      <c r="M29" s="65">
        <f>IF(L29="","",INT((L29-Config!$B$9+WEEKDAY(Config!$B$9,2)-1)/7)+1)</f>
        <v/>
      </c>
      <c r="N29" s="66">
        <f>IF(L29="","",L29-2)</f>
        <v/>
      </c>
      <c r="O29" s="65" t="n"/>
      <c r="P29" s="65" t="n"/>
      <c r="Q29" s="65" t="n"/>
    </row>
    <row r="30">
      <c r="A30" s="65" t="n"/>
      <c r="B30" s="65" t="n"/>
      <c r="C30" s="65" t="n"/>
      <c r="D30" s="65" t="n"/>
      <c r="E30" s="65" t="n"/>
      <c r="F30" s="65" t="n"/>
      <c r="G30" s="65" t="n"/>
      <c r="H30" s="65" t="n"/>
      <c r="I30" s="65" t="n"/>
      <c r="J30" s="65" t="n"/>
      <c r="K30" s="65" t="n"/>
      <c r="L30" s="66" t="n"/>
      <c r="M30" s="65">
        <f>IF(L30="","",INT((L30-Config!$B$9+WEEKDAY(Config!$B$9,2)-1)/7)+1)</f>
        <v/>
      </c>
      <c r="N30" s="66">
        <f>IF(L30="","",L30-2)</f>
        <v/>
      </c>
      <c r="O30" s="65" t="n"/>
      <c r="P30" s="65" t="n"/>
      <c r="Q30" s="65" t="n"/>
    </row>
    <row r="31">
      <c r="A31" s="65" t="n"/>
      <c r="B31" s="65" t="n"/>
      <c r="C31" s="65" t="n"/>
      <c r="D31" s="65" t="n"/>
      <c r="E31" s="65" t="n"/>
      <c r="F31" s="65" t="n"/>
      <c r="G31" s="65" t="n"/>
      <c r="H31" s="65" t="n"/>
      <c r="I31" s="65" t="n"/>
      <c r="J31" s="65" t="n"/>
      <c r="K31" s="65" t="n"/>
      <c r="L31" s="66" t="n"/>
      <c r="M31" s="65">
        <f>IF(L31="","",INT((L31-Config!$B$9+WEEKDAY(Config!$B$9,2)-1)/7)+1)</f>
        <v/>
      </c>
      <c r="N31" s="66">
        <f>IF(L31="","",L31-2)</f>
        <v/>
      </c>
      <c r="O31" s="65" t="n"/>
      <c r="P31" s="65" t="n"/>
      <c r="Q31" s="65" t="n"/>
    </row>
    <row r="32">
      <c r="A32" s="65" t="n"/>
      <c r="B32" s="65" t="n"/>
      <c r="C32" s="65" t="n"/>
      <c r="D32" s="65" t="n"/>
      <c r="E32" s="65" t="n"/>
      <c r="F32" s="65" t="n"/>
      <c r="G32" s="65" t="n"/>
      <c r="H32" s="65" t="n"/>
      <c r="I32" s="65" t="n"/>
      <c r="J32" s="65" t="n"/>
      <c r="K32" s="65" t="n"/>
      <c r="L32" s="66" t="n"/>
      <c r="M32" s="65">
        <f>IF(L32="","",INT((L32-Config!$B$9+WEEKDAY(Config!$B$9,2)-1)/7)+1)</f>
        <v/>
      </c>
      <c r="N32" s="66">
        <f>IF(L32="","",L32-2)</f>
        <v/>
      </c>
      <c r="O32" s="65" t="n"/>
      <c r="P32" s="65" t="n"/>
      <c r="Q32" s="65" t="n"/>
    </row>
    <row r="33">
      <c r="A33" s="65" t="n"/>
      <c r="B33" s="65" t="n"/>
      <c r="C33" s="65" t="n"/>
      <c r="D33" s="65" t="n"/>
      <c r="E33" s="65" t="n"/>
      <c r="F33" s="65" t="n"/>
      <c r="G33" s="65" t="n"/>
      <c r="H33" s="65" t="n"/>
      <c r="I33" s="65" t="n"/>
      <c r="J33" s="65" t="n"/>
      <c r="K33" s="65" t="n"/>
      <c r="L33" s="66" t="n"/>
      <c r="M33" s="65">
        <f>IF(L33="","",INT((L33-Config!$B$9+WEEKDAY(Config!$B$9,2)-1)/7)+1)</f>
        <v/>
      </c>
      <c r="N33" s="66">
        <f>IF(L33="","",L33-2)</f>
        <v/>
      </c>
      <c r="O33" s="65" t="n"/>
      <c r="P33" s="65" t="n"/>
      <c r="Q33" s="65" t="n"/>
    </row>
    <row r="34">
      <c r="A34" s="65" t="n"/>
      <c r="B34" s="65" t="n"/>
      <c r="C34" s="65" t="n"/>
      <c r="D34" s="65" t="n"/>
      <c r="E34" s="65" t="n"/>
      <c r="F34" s="65" t="n"/>
      <c r="G34" s="65" t="n"/>
      <c r="H34" s="65" t="n"/>
      <c r="I34" s="65" t="n"/>
      <c r="J34" s="65" t="n"/>
      <c r="K34" s="65" t="n"/>
      <c r="L34" s="66" t="n"/>
      <c r="M34" s="65">
        <f>IF(L34="","",INT((L34-Config!$B$9+WEEKDAY(Config!$B$9,2)-1)/7)+1)</f>
        <v/>
      </c>
      <c r="N34" s="66">
        <f>IF(L34="","",L34-2)</f>
        <v/>
      </c>
      <c r="O34" s="65" t="n"/>
      <c r="P34" s="65" t="n"/>
      <c r="Q34" s="65" t="n"/>
    </row>
    <row r="35">
      <c r="A35" s="65" t="n"/>
      <c r="B35" s="65" t="n"/>
      <c r="C35" s="65" t="n"/>
      <c r="D35" s="65" t="n"/>
      <c r="E35" s="65" t="n"/>
      <c r="F35" s="65" t="n"/>
      <c r="G35" s="65" t="n"/>
      <c r="H35" s="65" t="n"/>
      <c r="I35" s="65" t="n"/>
      <c r="J35" s="65" t="n"/>
      <c r="K35" s="65" t="n"/>
      <c r="L35" s="66" t="n"/>
      <c r="M35" s="65">
        <f>IF(L35="","",INT((L35-Config!$B$9+WEEKDAY(Config!$B$9,2)-1)/7)+1)</f>
        <v/>
      </c>
      <c r="N35" s="66">
        <f>IF(L35="","",L35-2)</f>
        <v/>
      </c>
      <c r="O35" s="65" t="n"/>
      <c r="P35" s="65" t="n"/>
      <c r="Q35" s="65" t="n"/>
    </row>
    <row r="36">
      <c r="A36" s="65" t="n"/>
      <c r="B36" s="65" t="n"/>
      <c r="C36" s="65" t="n"/>
      <c r="D36" s="65" t="n"/>
      <c r="E36" s="65" t="n"/>
      <c r="F36" s="65" t="n"/>
      <c r="G36" s="65" t="n"/>
      <c r="H36" s="65" t="n"/>
      <c r="I36" s="65" t="n"/>
      <c r="J36" s="65" t="n"/>
      <c r="K36" s="65" t="n"/>
      <c r="L36" s="66" t="n"/>
      <c r="M36" s="65">
        <f>IF(L36="","",INT((L36-Config!$B$9+WEEKDAY(Config!$B$9,2)-1)/7)+1)</f>
        <v/>
      </c>
      <c r="N36" s="66">
        <f>IF(L36="","",L36-2)</f>
        <v/>
      </c>
      <c r="O36" s="65" t="n"/>
      <c r="P36" s="65" t="n"/>
      <c r="Q36" s="65" t="n"/>
    </row>
    <row r="37">
      <c r="A37" s="65" t="n"/>
      <c r="B37" s="65" t="n"/>
      <c r="C37" s="65" t="n"/>
      <c r="D37" s="65" t="n"/>
      <c r="E37" s="65" t="n"/>
      <c r="F37" s="65" t="n"/>
      <c r="G37" s="65" t="n"/>
      <c r="H37" s="65" t="n"/>
      <c r="I37" s="65" t="n"/>
      <c r="J37" s="65" t="n"/>
      <c r="K37" s="65" t="n"/>
      <c r="L37" s="66" t="n"/>
      <c r="M37" s="65">
        <f>IF(L37="","",INT((L37-Config!$B$9+WEEKDAY(Config!$B$9,2)-1)/7)+1)</f>
        <v/>
      </c>
      <c r="N37" s="66">
        <f>IF(L37="","",L37-2)</f>
        <v/>
      </c>
      <c r="O37" s="65" t="n"/>
      <c r="P37" s="65" t="n"/>
      <c r="Q37" s="65" t="n"/>
    </row>
    <row r="38">
      <c r="A38" s="65" t="n"/>
      <c r="B38" s="65" t="n"/>
      <c r="C38" s="65" t="n"/>
      <c r="D38" s="65" t="n"/>
      <c r="E38" s="65" t="n"/>
      <c r="F38" s="65" t="n"/>
      <c r="G38" s="65" t="n"/>
      <c r="H38" s="65" t="n"/>
      <c r="I38" s="65" t="n"/>
      <c r="J38" s="65" t="n"/>
      <c r="K38" s="65" t="n"/>
      <c r="L38" s="66" t="n"/>
      <c r="M38" s="65">
        <f>IF(L38="","",INT((L38-Config!$B$9+WEEKDAY(Config!$B$9,2)-1)/7)+1)</f>
        <v/>
      </c>
      <c r="N38" s="66">
        <f>IF(L38="","",L38-2)</f>
        <v/>
      </c>
      <c r="O38" s="65" t="n"/>
      <c r="P38" s="65" t="n"/>
      <c r="Q38" s="65" t="n"/>
    </row>
    <row r="39">
      <c r="A39" s="65" t="n"/>
      <c r="B39" s="65" t="n"/>
      <c r="C39" s="65" t="n"/>
      <c r="D39" s="65" t="n"/>
      <c r="E39" s="65" t="n"/>
      <c r="F39" s="65" t="n"/>
      <c r="G39" s="65" t="n"/>
      <c r="H39" s="65" t="n"/>
      <c r="I39" s="65" t="n"/>
      <c r="J39" s="65" t="n"/>
      <c r="K39" s="65" t="n"/>
      <c r="L39" s="66" t="n"/>
      <c r="M39" s="65">
        <f>IF(L39="","",INT((L39-Config!$B$9+WEEKDAY(Config!$B$9,2)-1)/7)+1)</f>
        <v/>
      </c>
      <c r="N39" s="66">
        <f>IF(L39="","",L39-2)</f>
        <v/>
      </c>
      <c r="O39" s="65" t="n"/>
      <c r="P39" s="65" t="n"/>
      <c r="Q39" s="65" t="n"/>
    </row>
    <row r="40">
      <c r="A40" s="65" t="n"/>
      <c r="B40" s="65" t="n"/>
      <c r="C40" s="65" t="n"/>
      <c r="D40" s="65" t="n"/>
      <c r="E40" s="65" t="n"/>
      <c r="F40" s="65" t="n"/>
      <c r="G40" s="65" t="n"/>
      <c r="H40" s="65" t="n"/>
      <c r="I40" s="65" t="n"/>
      <c r="J40" s="65" t="n"/>
      <c r="K40" s="65" t="n"/>
      <c r="L40" s="66" t="n"/>
      <c r="M40" s="65">
        <f>IF(L40="","",INT((L40-Config!$B$9+WEEKDAY(Config!$B$9,2)-1)/7)+1)</f>
        <v/>
      </c>
      <c r="N40" s="66">
        <f>IF(L40="","",L40-2)</f>
        <v/>
      </c>
      <c r="O40" s="65" t="n"/>
      <c r="P40" s="65" t="n"/>
      <c r="Q40" s="65" t="n"/>
    </row>
    <row r="41">
      <c r="A41" s="65" t="n"/>
      <c r="B41" s="65" t="n"/>
      <c r="C41" s="65" t="n"/>
      <c r="D41" s="65" t="n"/>
      <c r="E41" s="65" t="n"/>
      <c r="F41" s="65" t="n"/>
      <c r="G41" s="65" t="n"/>
      <c r="H41" s="65" t="n"/>
      <c r="I41" s="65" t="n"/>
      <c r="J41" s="65" t="n"/>
      <c r="K41" s="65" t="n"/>
      <c r="L41" s="66" t="n"/>
      <c r="M41" s="65">
        <f>IF(L41="","",INT((L41-Config!$B$9+WEEKDAY(Config!$B$9,2)-1)/7)+1)</f>
        <v/>
      </c>
      <c r="N41" s="66">
        <f>IF(L41="","",L41-2)</f>
        <v/>
      </c>
      <c r="O41" s="65" t="n"/>
      <c r="P41" s="65" t="n"/>
      <c r="Q41" s="65" t="n"/>
    </row>
    <row r="42">
      <c r="A42" s="65" t="n"/>
      <c r="B42" s="65" t="n"/>
      <c r="C42" s="65" t="n"/>
      <c r="D42" s="65" t="n"/>
      <c r="E42" s="65" t="n"/>
      <c r="F42" s="65" t="n"/>
      <c r="G42" s="65" t="n"/>
      <c r="H42" s="65" t="n"/>
      <c r="I42" s="65" t="n"/>
      <c r="J42" s="65" t="n"/>
      <c r="K42" s="65" t="n"/>
      <c r="L42" s="66" t="n"/>
      <c r="M42" s="65">
        <f>IF(L42="","",INT((L42-Config!$B$9+WEEKDAY(Config!$B$9,2)-1)/7)+1)</f>
        <v/>
      </c>
      <c r="N42" s="66">
        <f>IF(L42="","",L42-2)</f>
        <v/>
      </c>
      <c r="O42" s="65" t="n"/>
      <c r="P42" s="65" t="n"/>
      <c r="Q42" s="65" t="n"/>
    </row>
    <row r="43">
      <c r="A43" s="65" t="n"/>
      <c r="B43" s="65" t="n"/>
      <c r="C43" s="65" t="n"/>
      <c r="D43" s="65" t="n"/>
      <c r="E43" s="65" t="n"/>
      <c r="F43" s="65" t="n"/>
      <c r="G43" s="65" t="n"/>
      <c r="H43" s="65" t="n"/>
      <c r="I43" s="65" t="n"/>
      <c r="J43" s="65" t="n"/>
      <c r="K43" s="65" t="n"/>
      <c r="L43" s="66" t="n"/>
      <c r="M43" s="65">
        <f>IF(L43="","",INT((L43-Config!$B$9+WEEKDAY(Config!$B$9,2)-1)/7)+1)</f>
        <v/>
      </c>
      <c r="N43" s="66">
        <f>IF(L43="","",L43-2)</f>
        <v/>
      </c>
      <c r="O43" s="65" t="n"/>
      <c r="P43" s="65" t="n"/>
      <c r="Q43" s="65" t="n"/>
    </row>
    <row r="44">
      <c r="A44" s="65" t="n"/>
      <c r="B44" s="65" t="n"/>
      <c r="C44" s="65" t="n"/>
      <c r="D44" s="65" t="n"/>
      <c r="E44" s="65" t="n"/>
      <c r="F44" s="65" t="n"/>
      <c r="G44" s="65" t="n"/>
      <c r="H44" s="65" t="n"/>
      <c r="I44" s="65" t="n"/>
      <c r="J44" s="65" t="n"/>
      <c r="K44" s="65" t="n"/>
      <c r="L44" s="66" t="n"/>
      <c r="M44" s="65">
        <f>IF(L44="","",INT((L44-Config!$B$9+WEEKDAY(Config!$B$9,2)-1)/7)+1)</f>
        <v/>
      </c>
      <c r="N44" s="66">
        <f>IF(L44="","",L44-2)</f>
        <v/>
      </c>
      <c r="O44" s="65" t="n"/>
      <c r="P44" s="65" t="n"/>
      <c r="Q44" s="65" t="n"/>
    </row>
    <row r="45">
      <c r="A45" s="65" t="n"/>
      <c r="B45" s="65" t="n"/>
      <c r="C45" s="65" t="n"/>
      <c r="D45" s="65" t="n"/>
      <c r="E45" s="65" t="n"/>
      <c r="F45" s="65" t="n"/>
      <c r="G45" s="65" t="n"/>
      <c r="H45" s="65" t="n"/>
      <c r="I45" s="65" t="n"/>
      <c r="J45" s="65" t="n"/>
      <c r="K45" s="65" t="n"/>
      <c r="L45" s="66" t="n"/>
      <c r="M45" s="65">
        <f>IF(L45="","",INT((L45-Config!$B$9+WEEKDAY(Config!$B$9,2)-1)/7)+1)</f>
        <v/>
      </c>
      <c r="N45" s="66">
        <f>IF(L45="","",L45-2)</f>
        <v/>
      </c>
      <c r="O45" s="65" t="n"/>
      <c r="P45" s="65" t="n"/>
      <c r="Q45" s="65" t="n"/>
    </row>
    <row r="46">
      <c r="A46" s="65" t="n"/>
      <c r="B46" s="65" t="n"/>
      <c r="C46" s="65" t="n"/>
      <c r="D46" s="65" t="n"/>
      <c r="E46" s="65" t="n"/>
      <c r="F46" s="65" t="n"/>
      <c r="G46" s="65" t="n"/>
      <c r="H46" s="65" t="n"/>
      <c r="I46" s="65" t="n"/>
      <c r="J46" s="65" t="n"/>
      <c r="K46" s="65" t="n"/>
      <c r="L46" s="66" t="n"/>
      <c r="M46" s="65">
        <f>IF(L46="","",INT((L46-Config!$B$9+WEEKDAY(Config!$B$9,2)-1)/7)+1)</f>
        <v/>
      </c>
      <c r="N46" s="66">
        <f>IF(L46="","",L46-2)</f>
        <v/>
      </c>
      <c r="O46" s="65" t="n"/>
      <c r="P46" s="65" t="n"/>
      <c r="Q46" s="65" t="n"/>
    </row>
    <row r="47">
      <c r="A47" s="65" t="n"/>
      <c r="B47" s="65" t="n"/>
      <c r="C47" s="65" t="n"/>
      <c r="D47" s="65" t="n"/>
      <c r="E47" s="65" t="n"/>
      <c r="F47" s="65" t="n"/>
      <c r="G47" s="65" t="n"/>
      <c r="H47" s="65" t="n"/>
      <c r="I47" s="65" t="n"/>
      <c r="J47" s="65" t="n"/>
      <c r="K47" s="65" t="n"/>
      <c r="L47" s="66" t="n"/>
      <c r="M47" s="65">
        <f>IF(L47="","",INT((L47-Config!$B$9+WEEKDAY(Config!$B$9,2)-1)/7)+1)</f>
        <v/>
      </c>
      <c r="N47" s="66">
        <f>IF(L47="","",L47-2)</f>
        <v/>
      </c>
      <c r="O47" s="65" t="n"/>
      <c r="P47" s="65" t="n"/>
      <c r="Q47" s="65" t="n"/>
    </row>
    <row r="48">
      <c r="A48" s="65" t="n"/>
      <c r="B48" s="65" t="n"/>
      <c r="C48" s="65" t="n"/>
      <c r="D48" s="65" t="n"/>
      <c r="E48" s="65" t="n"/>
      <c r="F48" s="65" t="n"/>
      <c r="G48" s="65" t="n"/>
      <c r="H48" s="65" t="n"/>
      <c r="I48" s="65" t="n"/>
      <c r="J48" s="65" t="n"/>
      <c r="K48" s="65" t="n"/>
      <c r="L48" s="66" t="n"/>
      <c r="M48" s="65">
        <f>IF(L48="","",INT((L48-Config!$B$9+WEEKDAY(Config!$B$9,2)-1)/7)+1)</f>
        <v/>
      </c>
      <c r="N48" s="66">
        <f>IF(L48="","",L48-2)</f>
        <v/>
      </c>
      <c r="O48" s="65" t="n"/>
      <c r="P48" s="65" t="n"/>
      <c r="Q48" s="65" t="n"/>
    </row>
    <row r="49">
      <c r="A49" s="65" t="n"/>
      <c r="B49" s="65" t="n"/>
      <c r="C49" s="65" t="n"/>
      <c r="D49" s="65" t="n"/>
      <c r="E49" s="65" t="n"/>
      <c r="F49" s="65" t="n"/>
      <c r="G49" s="65" t="n"/>
      <c r="H49" s="65" t="n"/>
      <c r="I49" s="65" t="n"/>
      <c r="J49" s="65" t="n"/>
      <c r="K49" s="65" t="n"/>
      <c r="L49" s="66" t="n"/>
      <c r="M49" s="65">
        <f>IF(L49="","",INT((L49-Config!$B$9+WEEKDAY(Config!$B$9,2)-1)/7)+1)</f>
        <v/>
      </c>
      <c r="N49" s="66">
        <f>IF(L49="","",L49-2)</f>
        <v/>
      </c>
      <c r="O49" s="65" t="n"/>
      <c r="P49" s="65" t="n"/>
      <c r="Q49" s="65" t="n"/>
    </row>
    <row r="50">
      <c r="A50" s="65" t="n"/>
      <c r="B50" s="65" t="n"/>
      <c r="C50" s="65" t="n"/>
      <c r="D50" s="65" t="n"/>
      <c r="E50" s="65" t="n"/>
      <c r="F50" s="65" t="n"/>
      <c r="G50" s="65" t="n"/>
      <c r="H50" s="65" t="n"/>
      <c r="I50" s="65" t="n"/>
      <c r="J50" s="65" t="n"/>
      <c r="K50" s="65" t="n"/>
      <c r="L50" s="66" t="n"/>
      <c r="M50" s="65">
        <f>IF(L50="","",INT((L50-Config!$B$9+WEEKDAY(Config!$B$9,2)-1)/7)+1)</f>
        <v/>
      </c>
      <c r="N50" s="66">
        <f>IF(L50="","",L50-2)</f>
        <v/>
      </c>
      <c r="O50" s="65" t="n"/>
      <c r="P50" s="65" t="n"/>
      <c r="Q50" s="65" t="n"/>
    </row>
    <row r="51">
      <c r="A51" s="65" t="n"/>
      <c r="B51" s="65" t="n"/>
      <c r="C51" s="65" t="n"/>
      <c r="D51" s="65" t="n"/>
      <c r="E51" s="65" t="n"/>
      <c r="F51" s="65" t="n"/>
      <c r="G51" s="65" t="n"/>
      <c r="H51" s="65" t="n"/>
      <c r="I51" s="65" t="n"/>
      <c r="J51" s="65" t="n"/>
      <c r="K51" s="65" t="n"/>
      <c r="L51" s="66" t="n"/>
      <c r="M51" s="65">
        <f>IF(L51="","",INT((L51-Config!$B$9+WEEKDAY(Config!$B$9,2)-1)/7)+1)</f>
        <v/>
      </c>
      <c r="N51" s="66">
        <f>IF(L51="","",L51-2)</f>
        <v/>
      </c>
      <c r="O51" s="65" t="n"/>
      <c r="P51" s="65" t="n"/>
      <c r="Q51" s="65" t="n"/>
    </row>
    <row r="52">
      <c r="A52" s="65" t="n"/>
      <c r="B52" s="65" t="n"/>
      <c r="C52" s="65" t="n"/>
      <c r="D52" s="65" t="n"/>
      <c r="E52" s="65" t="n"/>
      <c r="F52" s="65" t="n"/>
      <c r="G52" s="65" t="n"/>
      <c r="H52" s="65" t="n"/>
      <c r="I52" s="65" t="n"/>
      <c r="J52" s="65" t="n"/>
      <c r="K52" s="65" t="n"/>
      <c r="L52" s="66" t="n"/>
      <c r="M52" s="65">
        <f>IF(L52="","",INT((L52-Config!$B$9+WEEKDAY(Config!$B$9,2)-1)/7)+1)</f>
        <v/>
      </c>
      <c r="N52" s="66">
        <f>IF(L52="","",L52-2)</f>
        <v/>
      </c>
      <c r="O52" s="65" t="n"/>
      <c r="P52" s="65" t="n"/>
      <c r="Q52" s="65" t="n"/>
    </row>
    <row r="53">
      <c r="A53" s="65" t="n"/>
      <c r="B53" s="65" t="n"/>
      <c r="C53" s="65" t="n"/>
      <c r="D53" s="65" t="n"/>
      <c r="E53" s="65" t="n"/>
      <c r="F53" s="65" t="n"/>
      <c r="G53" s="65" t="n"/>
      <c r="H53" s="65" t="n"/>
      <c r="I53" s="65" t="n"/>
      <c r="J53" s="65" t="n"/>
      <c r="K53" s="65" t="n"/>
      <c r="L53" s="66" t="n"/>
      <c r="M53" s="65">
        <f>IF(L53="","",INT((L53-Config!$B$9+WEEKDAY(Config!$B$9,2)-1)/7)+1)</f>
        <v/>
      </c>
      <c r="N53" s="66">
        <f>IF(L53="","",L53-2)</f>
        <v/>
      </c>
      <c r="O53" s="65" t="n"/>
      <c r="P53" s="65" t="n"/>
      <c r="Q53" s="65" t="n"/>
    </row>
    <row r="54">
      <c r="A54" s="65" t="n"/>
      <c r="B54" s="65" t="n"/>
      <c r="C54" s="65" t="n"/>
      <c r="D54" s="65" t="n"/>
      <c r="E54" s="65" t="n"/>
      <c r="F54" s="65" t="n"/>
      <c r="G54" s="65" t="n"/>
      <c r="H54" s="65" t="n"/>
      <c r="I54" s="65" t="n"/>
      <c r="J54" s="65" t="n"/>
      <c r="K54" s="65" t="n"/>
      <c r="L54" s="66" t="n"/>
      <c r="M54" s="65">
        <f>IF(L54="","",INT((L54-Config!$B$9+WEEKDAY(Config!$B$9,2)-1)/7)+1)</f>
        <v/>
      </c>
      <c r="N54" s="66">
        <f>IF(L54="","",L54-2)</f>
        <v/>
      </c>
      <c r="O54" s="65" t="n"/>
      <c r="P54" s="65" t="n"/>
      <c r="Q54" s="65" t="n"/>
    </row>
    <row r="55">
      <c r="A55" s="65" t="n"/>
      <c r="B55" s="65" t="n"/>
      <c r="C55" s="65" t="n"/>
      <c r="D55" s="65" t="n"/>
      <c r="E55" s="65" t="n"/>
      <c r="F55" s="65" t="n"/>
      <c r="G55" s="65" t="n"/>
      <c r="H55" s="65" t="n"/>
      <c r="I55" s="65" t="n"/>
      <c r="J55" s="65" t="n"/>
      <c r="K55" s="65" t="n"/>
      <c r="L55" s="66" t="n"/>
      <c r="M55" s="65">
        <f>IF(L55="","",INT((L55-Config!$B$9+WEEKDAY(Config!$B$9,2)-1)/7)+1)</f>
        <v/>
      </c>
      <c r="N55" s="66">
        <f>IF(L55="","",L55-2)</f>
        <v/>
      </c>
      <c r="O55" s="65" t="n"/>
      <c r="P55" s="65" t="n"/>
      <c r="Q55" s="65" t="n"/>
    </row>
    <row r="56">
      <c r="A56" s="65" t="n"/>
      <c r="B56" s="65" t="n"/>
      <c r="C56" s="65" t="n"/>
      <c r="D56" s="65" t="n"/>
      <c r="E56" s="65" t="n"/>
      <c r="F56" s="65" t="n"/>
      <c r="G56" s="65" t="n"/>
      <c r="H56" s="65" t="n"/>
      <c r="I56" s="65" t="n"/>
      <c r="J56" s="65" t="n"/>
      <c r="K56" s="65" t="n"/>
      <c r="L56" s="66" t="n"/>
      <c r="M56" s="65">
        <f>IF(L56="","",INT((L56-Config!$B$9+WEEKDAY(Config!$B$9,2)-1)/7)+1)</f>
        <v/>
      </c>
      <c r="N56" s="66">
        <f>IF(L56="","",L56-2)</f>
        <v/>
      </c>
      <c r="O56" s="65" t="n"/>
      <c r="P56" s="65" t="n"/>
      <c r="Q56" s="65" t="n"/>
    </row>
    <row r="57">
      <c r="A57" s="65" t="n"/>
      <c r="B57" s="65" t="n"/>
      <c r="C57" s="65" t="n"/>
      <c r="D57" s="65" t="n"/>
      <c r="E57" s="65" t="n"/>
      <c r="F57" s="65" t="n"/>
      <c r="G57" s="65" t="n"/>
      <c r="H57" s="65" t="n"/>
      <c r="I57" s="65" t="n"/>
      <c r="J57" s="65" t="n"/>
      <c r="K57" s="65" t="n"/>
      <c r="L57" s="66" t="n"/>
      <c r="M57" s="65">
        <f>IF(L57="","",INT((L57-Config!$B$9+WEEKDAY(Config!$B$9,2)-1)/7)+1)</f>
        <v/>
      </c>
      <c r="N57" s="66">
        <f>IF(L57="","",L57-2)</f>
        <v/>
      </c>
      <c r="O57" s="65" t="n"/>
      <c r="P57" s="65" t="n"/>
      <c r="Q57" s="65" t="n"/>
    </row>
    <row r="58">
      <c r="A58" s="65" t="n"/>
      <c r="B58" s="65" t="n"/>
      <c r="C58" s="65" t="n"/>
      <c r="D58" s="65" t="n"/>
      <c r="E58" s="65" t="n"/>
      <c r="F58" s="65" t="n"/>
      <c r="G58" s="65" t="n"/>
      <c r="H58" s="65" t="n"/>
      <c r="I58" s="65" t="n"/>
      <c r="J58" s="65" t="n"/>
      <c r="K58" s="65" t="n"/>
      <c r="L58" s="66" t="n"/>
      <c r="M58" s="65">
        <f>IF(L58="","",INT((L58-Config!$B$9+WEEKDAY(Config!$B$9,2)-1)/7)+1)</f>
        <v/>
      </c>
      <c r="N58" s="66">
        <f>IF(L58="","",L58-2)</f>
        <v/>
      </c>
      <c r="O58" s="65" t="n"/>
      <c r="P58" s="65" t="n"/>
      <c r="Q58" s="65" t="n"/>
    </row>
    <row r="59">
      <c r="A59" s="65" t="n"/>
      <c r="B59" s="65" t="n"/>
      <c r="C59" s="65" t="n"/>
      <c r="D59" s="65" t="n"/>
      <c r="E59" s="65" t="n"/>
      <c r="F59" s="65" t="n"/>
      <c r="G59" s="65" t="n"/>
      <c r="H59" s="65" t="n"/>
      <c r="I59" s="65" t="n"/>
      <c r="J59" s="65" t="n"/>
      <c r="K59" s="65" t="n"/>
      <c r="L59" s="66" t="n"/>
      <c r="M59" s="65">
        <f>IF(L59="","",INT((L59-Config!$B$9+WEEKDAY(Config!$B$9,2)-1)/7)+1)</f>
        <v/>
      </c>
      <c r="N59" s="66">
        <f>IF(L59="","",L59-2)</f>
        <v/>
      </c>
      <c r="O59" s="65" t="n"/>
      <c r="P59" s="65" t="n"/>
      <c r="Q59" s="65" t="n"/>
    </row>
    <row r="60">
      <c r="A60" s="65" t="n"/>
      <c r="B60" s="65" t="n"/>
      <c r="C60" s="65" t="n"/>
      <c r="D60" s="65" t="n"/>
      <c r="E60" s="65" t="n"/>
      <c r="F60" s="65" t="n"/>
      <c r="G60" s="65" t="n"/>
      <c r="H60" s="65" t="n"/>
      <c r="I60" s="65" t="n"/>
      <c r="J60" s="65" t="n"/>
      <c r="K60" s="65" t="n"/>
      <c r="L60" s="66" t="n"/>
      <c r="M60" s="65">
        <f>IF(L60="","",INT((L60-Config!$B$9+WEEKDAY(Config!$B$9,2)-1)/7)+1)</f>
        <v/>
      </c>
      <c r="N60" s="66">
        <f>IF(L60="","",L60-2)</f>
        <v/>
      </c>
      <c r="O60" s="65" t="n"/>
      <c r="P60" s="65" t="n"/>
      <c r="Q60" s="65" t="n"/>
    </row>
    <row r="61">
      <c r="A61" s="65" t="n"/>
      <c r="B61" s="65" t="n"/>
      <c r="C61" s="65" t="n"/>
      <c r="D61" s="65" t="n"/>
      <c r="E61" s="65" t="n"/>
      <c r="F61" s="65" t="n"/>
      <c r="G61" s="65" t="n"/>
      <c r="H61" s="65" t="n"/>
      <c r="I61" s="65" t="n"/>
      <c r="J61" s="65" t="n"/>
      <c r="K61" s="65" t="n"/>
      <c r="L61" s="66" t="n"/>
      <c r="M61" s="65">
        <f>IF(L61="","",INT((L61-Config!$B$9+WEEKDAY(Config!$B$9,2)-1)/7)+1)</f>
        <v/>
      </c>
      <c r="N61" s="66">
        <f>IF(L61="","",L61-2)</f>
        <v/>
      </c>
      <c r="O61" s="65" t="n"/>
      <c r="P61" s="65" t="n"/>
      <c r="Q61" s="65" t="n"/>
    </row>
    <row r="62">
      <c r="A62" s="65" t="n"/>
      <c r="B62" s="65" t="n"/>
      <c r="C62" s="65" t="n"/>
      <c r="D62" s="65" t="n"/>
      <c r="E62" s="65" t="n"/>
      <c r="F62" s="65" t="n"/>
      <c r="G62" s="65" t="n"/>
      <c r="H62" s="65" t="n"/>
      <c r="I62" s="65" t="n"/>
      <c r="J62" s="65" t="n"/>
      <c r="K62" s="65" t="n"/>
      <c r="L62" s="66" t="n"/>
      <c r="M62" s="65">
        <f>IF(L62="","",INT((L62-Config!$B$9+WEEKDAY(Config!$B$9,2)-1)/7)+1)</f>
        <v/>
      </c>
      <c r="N62" s="66">
        <f>IF(L62="","",L62-2)</f>
        <v/>
      </c>
      <c r="O62" s="65" t="n"/>
      <c r="P62" s="65" t="n"/>
      <c r="Q62" s="65" t="n"/>
    </row>
    <row r="63">
      <c r="A63" s="65" t="n"/>
      <c r="B63" s="65" t="n"/>
      <c r="C63" s="65" t="n"/>
      <c r="D63" s="65" t="n"/>
      <c r="E63" s="65" t="n"/>
      <c r="F63" s="65" t="n"/>
      <c r="G63" s="65" t="n"/>
      <c r="H63" s="65" t="n"/>
      <c r="I63" s="65" t="n"/>
      <c r="J63" s="65" t="n"/>
      <c r="K63" s="65" t="n"/>
      <c r="L63" s="66" t="n"/>
      <c r="M63" s="65">
        <f>IF(L63="","",INT((L63-Config!$B$9+WEEKDAY(Config!$B$9,2)-1)/7)+1)</f>
        <v/>
      </c>
      <c r="N63" s="66">
        <f>IF(L63="","",L63-2)</f>
        <v/>
      </c>
      <c r="O63" s="65" t="n"/>
      <c r="P63" s="65" t="n"/>
      <c r="Q63" s="65" t="n"/>
    </row>
    <row r="64">
      <c r="A64" s="65" t="n"/>
      <c r="B64" s="65" t="n"/>
      <c r="C64" s="65" t="n"/>
      <c r="D64" s="65" t="n"/>
      <c r="E64" s="65" t="n"/>
      <c r="F64" s="65" t="n"/>
      <c r="G64" s="65" t="n"/>
      <c r="H64" s="65" t="n"/>
      <c r="I64" s="65" t="n"/>
      <c r="J64" s="65" t="n"/>
      <c r="K64" s="65" t="n"/>
      <c r="L64" s="66" t="n"/>
      <c r="M64" s="65">
        <f>IF(L64="","",INT((L64-Config!$B$9+WEEKDAY(Config!$B$9,2)-1)/7)+1)</f>
        <v/>
      </c>
      <c r="N64" s="66">
        <f>IF(L64="","",L64-2)</f>
        <v/>
      </c>
      <c r="O64" s="65" t="n"/>
      <c r="P64" s="65" t="n"/>
      <c r="Q64" s="65" t="n"/>
    </row>
    <row r="65">
      <c r="A65" s="65" t="n"/>
      <c r="B65" s="65" t="n"/>
      <c r="C65" s="65" t="n"/>
      <c r="D65" s="65" t="n"/>
      <c r="E65" s="65" t="n"/>
      <c r="F65" s="65" t="n"/>
      <c r="G65" s="65" t="n"/>
      <c r="H65" s="65" t="n"/>
      <c r="I65" s="65" t="n"/>
      <c r="J65" s="65" t="n"/>
      <c r="K65" s="65" t="n"/>
      <c r="L65" s="66" t="n"/>
      <c r="M65" s="65">
        <f>IF(L65="","",INT((L65-Config!$B$9+WEEKDAY(Config!$B$9,2)-1)/7)+1)</f>
        <v/>
      </c>
      <c r="N65" s="66">
        <f>IF(L65="","",L65-2)</f>
        <v/>
      </c>
      <c r="O65" s="65" t="n"/>
      <c r="P65" s="65" t="n"/>
      <c r="Q65" s="65" t="n"/>
    </row>
    <row r="66">
      <c r="A66" s="65" t="n"/>
      <c r="B66" s="65" t="n"/>
      <c r="C66" s="65" t="n"/>
      <c r="D66" s="65" t="n"/>
      <c r="E66" s="65" t="n"/>
      <c r="F66" s="65" t="n"/>
      <c r="G66" s="65" t="n"/>
      <c r="H66" s="65" t="n"/>
      <c r="I66" s="65" t="n"/>
      <c r="J66" s="65" t="n"/>
      <c r="K66" s="65" t="n"/>
      <c r="L66" s="66" t="n"/>
      <c r="M66" s="65">
        <f>IF(L66="","",INT((L66-Config!$B$9+WEEKDAY(Config!$B$9,2)-1)/7)+1)</f>
        <v/>
      </c>
      <c r="N66" s="66">
        <f>IF(L66="","",L66-2)</f>
        <v/>
      </c>
      <c r="O66" s="65" t="n"/>
      <c r="P66" s="65" t="n"/>
      <c r="Q66" s="65" t="n"/>
    </row>
    <row r="67">
      <c r="A67" s="65" t="n"/>
      <c r="B67" s="65" t="n"/>
      <c r="C67" s="65" t="n"/>
      <c r="D67" s="65" t="n"/>
      <c r="E67" s="65" t="n"/>
      <c r="F67" s="65" t="n"/>
      <c r="G67" s="65" t="n"/>
      <c r="H67" s="65" t="n"/>
      <c r="I67" s="65" t="n"/>
      <c r="J67" s="65" t="n"/>
      <c r="K67" s="65" t="n"/>
      <c r="L67" s="66" t="n"/>
      <c r="M67" s="65">
        <f>IF(L67="","",INT((L67-Config!$B$9+WEEKDAY(Config!$B$9,2)-1)/7)+1)</f>
        <v/>
      </c>
      <c r="N67" s="66">
        <f>IF(L67="","",L67-2)</f>
        <v/>
      </c>
      <c r="O67" s="65" t="n"/>
      <c r="P67" s="65" t="n"/>
      <c r="Q67" s="65" t="n"/>
    </row>
    <row r="68">
      <c r="A68" s="65" t="n"/>
      <c r="B68" s="65" t="n"/>
      <c r="C68" s="65" t="n"/>
      <c r="D68" s="65" t="n"/>
      <c r="E68" s="65" t="n"/>
      <c r="F68" s="65" t="n"/>
      <c r="G68" s="65" t="n"/>
      <c r="H68" s="65" t="n"/>
      <c r="I68" s="65" t="n"/>
      <c r="J68" s="65" t="n"/>
      <c r="K68" s="65" t="n"/>
      <c r="L68" s="66" t="n"/>
      <c r="M68" s="65">
        <f>IF(L68="","",INT((L68-Config!$B$9+WEEKDAY(Config!$B$9,2)-1)/7)+1)</f>
        <v/>
      </c>
      <c r="N68" s="66">
        <f>IF(L68="","",L68-2)</f>
        <v/>
      </c>
      <c r="O68" s="65" t="n"/>
      <c r="P68" s="65" t="n"/>
      <c r="Q68" s="65" t="n"/>
    </row>
    <row r="69">
      <c r="A69" s="65" t="n"/>
      <c r="B69" s="65" t="n"/>
      <c r="C69" s="65" t="n"/>
      <c r="D69" s="65" t="n"/>
      <c r="E69" s="65" t="n"/>
      <c r="F69" s="65" t="n"/>
      <c r="G69" s="65" t="n"/>
      <c r="H69" s="65" t="n"/>
      <c r="I69" s="65" t="n"/>
      <c r="J69" s="65" t="n"/>
      <c r="K69" s="65" t="n"/>
      <c r="L69" s="66" t="n"/>
      <c r="M69" s="65">
        <f>IF(L69="","",INT((L69-Config!$B$9+WEEKDAY(Config!$B$9,2)-1)/7)+1)</f>
        <v/>
      </c>
      <c r="N69" s="66">
        <f>IF(L69="","",L69-2)</f>
        <v/>
      </c>
      <c r="O69" s="65" t="n"/>
      <c r="P69" s="65" t="n"/>
      <c r="Q69" s="65" t="n"/>
    </row>
    <row r="70">
      <c r="A70" s="65" t="n"/>
      <c r="B70" s="65" t="n"/>
      <c r="C70" s="65" t="n"/>
      <c r="D70" s="65" t="n"/>
      <c r="E70" s="65" t="n"/>
      <c r="F70" s="65" t="n"/>
      <c r="G70" s="65" t="n"/>
      <c r="H70" s="65" t="n"/>
      <c r="I70" s="65" t="n"/>
      <c r="J70" s="65" t="n"/>
      <c r="K70" s="65" t="n"/>
      <c r="L70" s="66" t="n"/>
      <c r="M70" s="65">
        <f>IF(L70="","",INT((L70-Config!$B$9+WEEKDAY(Config!$B$9,2)-1)/7)+1)</f>
        <v/>
      </c>
      <c r="N70" s="66">
        <f>IF(L70="","",L70-2)</f>
        <v/>
      </c>
      <c r="O70" s="65" t="n"/>
      <c r="P70" s="65" t="n"/>
      <c r="Q70" s="65" t="n"/>
    </row>
    <row r="71">
      <c r="A71" s="65" t="n"/>
      <c r="B71" s="65" t="n"/>
      <c r="C71" s="65" t="n"/>
      <c r="D71" s="65" t="n"/>
      <c r="E71" s="65" t="n"/>
      <c r="F71" s="65" t="n"/>
      <c r="G71" s="65" t="n"/>
      <c r="H71" s="65" t="n"/>
      <c r="I71" s="65" t="n"/>
      <c r="J71" s="65" t="n"/>
      <c r="K71" s="65" t="n"/>
      <c r="L71" s="66" t="n"/>
      <c r="M71" s="65">
        <f>IF(L71="","",INT((L71-Config!$B$9+WEEKDAY(Config!$B$9,2)-1)/7)+1)</f>
        <v/>
      </c>
      <c r="N71" s="66">
        <f>IF(L71="","",L71-2)</f>
        <v/>
      </c>
      <c r="O71" s="65" t="n"/>
      <c r="P71" s="65" t="n"/>
      <c r="Q71" s="65" t="n"/>
    </row>
    <row r="72">
      <c r="A72" s="65" t="n"/>
      <c r="B72" s="65" t="n"/>
      <c r="C72" s="65" t="n"/>
      <c r="D72" s="65" t="n"/>
      <c r="E72" s="65" t="n"/>
      <c r="F72" s="65" t="n"/>
      <c r="G72" s="65" t="n"/>
      <c r="H72" s="65" t="n"/>
      <c r="I72" s="65" t="n"/>
      <c r="J72" s="65" t="n"/>
      <c r="K72" s="65" t="n"/>
      <c r="L72" s="66" t="n"/>
      <c r="M72" s="65">
        <f>IF(L72="","",INT((L72-Config!$B$9+WEEKDAY(Config!$B$9,2)-1)/7)+1)</f>
        <v/>
      </c>
      <c r="N72" s="66">
        <f>IF(L72="","",L72-2)</f>
        <v/>
      </c>
      <c r="O72" s="65" t="n"/>
      <c r="P72" s="65" t="n"/>
      <c r="Q72" s="65" t="n"/>
    </row>
    <row r="73">
      <c r="A73" s="65" t="n"/>
      <c r="B73" s="65" t="n"/>
      <c r="C73" s="65" t="n"/>
      <c r="D73" s="65" t="n"/>
      <c r="E73" s="65" t="n"/>
      <c r="F73" s="65" t="n"/>
      <c r="G73" s="65" t="n"/>
      <c r="H73" s="65" t="n"/>
      <c r="I73" s="65" t="n"/>
      <c r="J73" s="65" t="n"/>
      <c r="K73" s="65" t="n"/>
      <c r="L73" s="66" t="n"/>
      <c r="M73" s="65">
        <f>IF(L73="","",INT((L73-Config!$B$9+WEEKDAY(Config!$B$9,2)-1)/7)+1)</f>
        <v/>
      </c>
      <c r="N73" s="66">
        <f>IF(L73="","",L73-2)</f>
        <v/>
      </c>
      <c r="O73" s="65" t="n"/>
      <c r="P73" s="65" t="n"/>
      <c r="Q73" s="65" t="n"/>
    </row>
    <row r="74">
      <c r="A74" s="65" t="n"/>
      <c r="B74" s="65" t="n"/>
      <c r="C74" s="65" t="n"/>
      <c r="D74" s="65" t="n"/>
      <c r="E74" s="65" t="n"/>
      <c r="F74" s="65" t="n"/>
      <c r="G74" s="65" t="n"/>
      <c r="H74" s="65" t="n"/>
      <c r="I74" s="65" t="n"/>
      <c r="J74" s="65" t="n"/>
      <c r="K74" s="65" t="n"/>
      <c r="L74" s="66" t="n"/>
      <c r="M74" s="65">
        <f>IF(L74="","",INT((L74-Config!$B$9+WEEKDAY(Config!$B$9,2)-1)/7)+1)</f>
        <v/>
      </c>
      <c r="N74" s="66">
        <f>IF(L74="","",L74-2)</f>
        <v/>
      </c>
      <c r="O74" s="65" t="n"/>
      <c r="P74" s="65" t="n"/>
      <c r="Q74" s="65" t="n"/>
    </row>
    <row r="75">
      <c r="A75" s="65" t="n"/>
      <c r="B75" s="65" t="n"/>
      <c r="C75" s="65" t="n"/>
      <c r="D75" s="65" t="n"/>
      <c r="E75" s="65" t="n"/>
      <c r="F75" s="65" t="n"/>
      <c r="G75" s="65" t="n"/>
      <c r="H75" s="65" t="n"/>
      <c r="I75" s="65" t="n"/>
      <c r="J75" s="65" t="n"/>
      <c r="K75" s="65" t="n"/>
      <c r="L75" s="66" t="n"/>
      <c r="M75" s="65">
        <f>IF(L75="","",INT((L75-Config!$B$9+WEEKDAY(Config!$B$9,2)-1)/7)+1)</f>
        <v/>
      </c>
      <c r="N75" s="66">
        <f>IF(L75="","",L75-2)</f>
        <v/>
      </c>
      <c r="O75" s="65" t="n"/>
      <c r="P75" s="65" t="n"/>
      <c r="Q75" s="65" t="n"/>
    </row>
    <row r="76">
      <c r="A76" s="65" t="n"/>
      <c r="B76" s="65" t="n"/>
      <c r="C76" s="65" t="n"/>
      <c r="D76" s="65" t="n"/>
      <c r="E76" s="65" t="n"/>
      <c r="F76" s="65" t="n"/>
      <c r="G76" s="65" t="n"/>
      <c r="H76" s="65" t="n"/>
      <c r="I76" s="65" t="n"/>
      <c r="J76" s="65" t="n"/>
      <c r="K76" s="65" t="n"/>
      <c r="L76" s="66" t="n"/>
      <c r="M76" s="65">
        <f>IF(L76="","",INT((L76-Config!$B$9+WEEKDAY(Config!$B$9,2)-1)/7)+1)</f>
        <v/>
      </c>
      <c r="N76" s="66">
        <f>IF(L76="","",L76-2)</f>
        <v/>
      </c>
      <c r="O76" s="65" t="n"/>
      <c r="P76" s="65" t="n"/>
      <c r="Q76" s="65" t="n"/>
    </row>
    <row r="77">
      <c r="A77" s="65" t="n"/>
      <c r="B77" s="65" t="n"/>
      <c r="C77" s="65" t="n"/>
      <c r="D77" s="65" t="n"/>
      <c r="E77" s="65" t="n"/>
      <c r="F77" s="65" t="n"/>
      <c r="G77" s="65" t="n"/>
      <c r="H77" s="65" t="n"/>
      <c r="I77" s="65" t="n"/>
      <c r="J77" s="65" t="n"/>
      <c r="K77" s="65" t="n"/>
      <c r="L77" s="66" t="n"/>
      <c r="M77" s="65">
        <f>IF(L77="","",INT((L77-Config!$B$9+WEEKDAY(Config!$B$9,2)-1)/7)+1)</f>
        <v/>
      </c>
      <c r="N77" s="66">
        <f>IF(L77="","",L77-2)</f>
        <v/>
      </c>
      <c r="O77" s="65" t="n"/>
      <c r="P77" s="65" t="n"/>
      <c r="Q77" s="65" t="n"/>
    </row>
    <row r="78">
      <c r="A78" s="65" t="n"/>
      <c r="B78" s="65" t="n"/>
      <c r="C78" s="65" t="n"/>
      <c r="D78" s="65" t="n"/>
      <c r="E78" s="65" t="n"/>
      <c r="F78" s="65" t="n"/>
      <c r="G78" s="65" t="n"/>
      <c r="H78" s="65" t="n"/>
      <c r="I78" s="65" t="n"/>
      <c r="J78" s="65" t="n"/>
      <c r="K78" s="65" t="n"/>
      <c r="L78" s="66" t="n"/>
      <c r="M78" s="65">
        <f>IF(L78="","",INT((L78-Config!$B$9+WEEKDAY(Config!$B$9,2)-1)/7)+1)</f>
        <v/>
      </c>
      <c r="N78" s="66">
        <f>IF(L78="","",L78-2)</f>
        <v/>
      </c>
      <c r="O78" s="65" t="n"/>
      <c r="P78" s="65" t="n"/>
      <c r="Q78" s="65" t="n"/>
    </row>
    <row r="79">
      <c r="A79" s="65" t="n"/>
      <c r="B79" s="65" t="n"/>
      <c r="C79" s="65" t="n"/>
      <c r="D79" s="65" t="n"/>
      <c r="E79" s="65" t="n"/>
      <c r="F79" s="65" t="n"/>
      <c r="G79" s="65" t="n"/>
      <c r="H79" s="65" t="n"/>
      <c r="I79" s="65" t="n"/>
      <c r="J79" s="65" t="n"/>
      <c r="K79" s="65" t="n"/>
      <c r="L79" s="66" t="n"/>
      <c r="M79" s="65">
        <f>IF(L79="","",INT((L79-Config!$B$9+WEEKDAY(Config!$B$9,2)-1)/7)+1)</f>
        <v/>
      </c>
      <c r="N79" s="66">
        <f>IF(L79="","",L79-2)</f>
        <v/>
      </c>
      <c r="O79" s="65" t="n"/>
      <c r="P79" s="65" t="n"/>
      <c r="Q79" s="65" t="n"/>
    </row>
    <row r="80">
      <c r="A80" s="65" t="n"/>
      <c r="B80" s="65" t="n"/>
      <c r="C80" s="65" t="n"/>
      <c r="D80" s="65" t="n"/>
      <c r="E80" s="65" t="n"/>
      <c r="F80" s="65" t="n"/>
      <c r="G80" s="65" t="n"/>
      <c r="H80" s="65" t="n"/>
      <c r="I80" s="65" t="n"/>
      <c r="J80" s="65" t="n"/>
      <c r="K80" s="65" t="n"/>
      <c r="L80" s="66" t="n"/>
      <c r="M80" s="65">
        <f>IF(L80="","",INT((L80-Config!$B$9+WEEKDAY(Config!$B$9,2)-1)/7)+1)</f>
        <v/>
      </c>
      <c r="N80" s="66">
        <f>IF(L80="","",L80-2)</f>
        <v/>
      </c>
      <c r="O80" s="65" t="n"/>
      <c r="P80" s="65" t="n"/>
      <c r="Q80" s="65" t="n"/>
    </row>
    <row r="81">
      <c r="A81" s="65" t="n"/>
      <c r="B81" s="65" t="n"/>
      <c r="C81" s="65" t="n"/>
      <c r="D81" s="65" t="n"/>
      <c r="E81" s="65" t="n"/>
      <c r="F81" s="65" t="n"/>
      <c r="G81" s="65" t="n"/>
      <c r="H81" s="65" t="n"/>
      <c r="I81" s="65" t="n"/>
      <c r="J81" s="65" t="n"/>
      <c r="K81" s="65" t="n"/>
      <c r="L81" s="66" t="n"/>
      <c r="M81" s="65">
        <f>IF(L81="","",INT((L81-Config!$B$9+WEEKDAY(Config!$B$9,2)-1)/7)+1)</f>
        <v/>
      </c>
      <c r="N81" s="66">
        <f>IF(L81="","",L81-2)</f>
        <v/>
      </c>
      <c r="O81" s="65" t="n"/>
      <c r="P81" s="65" t="n"/>
      <c r="Q81" s="65" t="n"/>
    </row>
    <row r="82">
      <c r="A82" s="65" t="n"/>
      <c r="B82" s="65" t="n"/>
      <c r="C82" s="65" t="n"/>
      <c r="D82" s="65" t="n"/>
      <c r="E82" s="65" t="n"/>
      <c r="F82" s="65" t="n"/>
      <c r="G82" s="65" t="n"/>
      <c r="H82" s="65" t="n"/>
      <c r="I82" s="65" t="n"/>
      <c r="J82" s="65" t="n"/>
      <c r="K82" s="65" t="n"/>
      <c r="L82" s="66" t="n"/>
      <c r="M82" s="65">
        <f>IF(L82="","",INT((L82-Config!$B$9+WEEKDAY(Config!$B$9,2)-1)/7)+1)</f>
        <v/>
      </c>
      <c r="N82" s="66">
        <f>IF(L82="","",L82-2)</f>
        <v/>
      </c>
      <c r="O82" s="65" t="n"/>
      <c r="P82" s="65" t="n"/>
      <c r="Q82" s="65" t="n"/>
    </row>
    <row r="83">
      <c r="A83" s="65" t="n"/>
      <c r="B83" s="65" t="n"/>
      <c r="C83" s="65" t="n"/>
      <c r="D83" s="65" t="n"/>
      <c r="E83" s="65" t="n"/>
      <c r="F83" s="65" t="n"/>
      <c r="G83" s="65" t="n"/>
      <c r="H83" s="65" t="n"/>
      <c r="I83" s="65" t="n"/>
      <c r="J83" s="65" t="n"/>
      <c r="K83" s="65" t="n"/>
      <c r="L83" s="66" t="n"/>
      <c r="M83" s="65">
        <f>IF(L83="","",INT((L83-Config!$B$9+WEEKDAY(Config!$B$9,2)-1)/7)+1)</f>
        <v/>
      </c>
      <c r="N83" s="66">
        <f>IF(L83="","",L83-2)</f>
        <v/>
      </c>
      <c r="O83" s="65" t="n"/>
      <c r="P83" s="65" t="n"/>
      <c r="Q83" s="65" t="n"/>
    </row>
    <row r="84">
      <c r="A84" s="65" t="n"/>
      <c r="B84" s="65" t="n"/>
      <c r="C84" s="65" t="n"/>
      <c r="D84" s="65" t="n"/>
      <c r="E84" s="65" t="n"/>
      <c r="F84" s="65" t="n"/>
      <c r="G84" s="65" t="n"/>
      <c r="H84" s="65" t="n"/>
      <c r="I84" s="65" t="n"/>
      <c r="J84" s="65" t="n"/>
      <c r="K84" s="65" t="n"/>
      <c r="L84" s="66" t="n"/>
      <c r="M84" s="65">
        <f>IF(L84="","",INT((L84-Config!$B$9+WEEKDAY(Config!$B$9,2)-1)/7)+1)</f>
        <v/>
      </c>
      <c r="N84" s="66">
        <f>IF(L84="","",L84-2)</f>
        <v/>
      </c>
      <c r="O84" s="65" t="n"/>
      <c r="P84" s="65" t="n"/>
      <c r="Q84" s="65" t="n"/>
    </row>
    <row r="85">
      <c r="A85" s="65" t="n"/>
      <c r="B85" s="65" t="n"/>
      <c r="C85" s="65" t="n"/>
      <c r="D85" s="65" t="n"/>
      <c r="E85" s="65" t="n"/>
      <c r="F85" s="65" t="n"/>
      <c r="G85" s="65" t="n"/>
      <c r="H85" s="65" t="n"/>
      <c r="I85" s="65" t="n"/>
      <c r="J85" s="65" t="n"/>
      <c r="K85" s="65" t="n"/>
      <c r="L85" s="66" t="n"/>
      <c r="M85" s="65">
        <f>IF(L85="","",INT((L85-Config!$B$9+WEEKDAY(Config!$B$9,2)-1)/7)+1)</f>
        <v/>
      </c>
      <c r="N85" s="66">
        <f>IF(L85="","",L85-2)</f>
        <v/>
      </c>
      <c r="O85" s="65" t="n"/>
      <c r="P85" s="65" t="n"/>
      <c r="Q85" s="65" t="n"/>
    </row>
    <row r="86">
      <c r="A86" s="65" t="n"/>
      <c r="B86" s="65" t="n"/>
      <c r="C86" s="65" t="n"/>
      <c r="D86" s="65" t="n"/>
      <c r="E86" s="65" t="n"/>
      <c r="F86" s="65" t="n"/>
      <c r="G86" s="65" t="n"/>
      <c r="H86" s="65" t="n"/>
      <c r="I86" s="65" t="n"/>
      <c r="J86" s="65" t="n"/>
      <c r="K86" s="65" t="n"/>
      <c r="L86" s="66" t="n"/>
      <c r="M86" s="65">
        <f>IF(L86="","",INT((L86-Config!$B$9+WEEKDAY(Config!$B$9,2)-1)/7)+1)</f>
        <v/>
      </c>
      <c r="N86" s="66">
        <f>IF(L86="","",L86-2)</f>
        <v/>
      </c>
      <c r="O86" s="65" t="n"/>
      <c r="P86" s="65" t="n"/>
      <c r="Q86" s="65" t="n"/>
    </row>
    <row r="87">
      <c r="A87" s="65" t="n"/>
      <c r="B87" s="65" t="n"/>
      <c r="C87" s="65" t="n"/>
      <c r="D87" s="65" t="n"/>
      <c r="E87" s="65" t="n"/>
      <c r="F87" s="65" t="n"/>
      <c r="G87" s="65" t="n"/>
      <c r="H87" s="65" t="n"/>
      <c r="I87" s="65" t="n"/>
      <c r="J87" s="65" t="n"/>
      <c r="K87" s="65" t="n"/>
      <c r="L87" s="66" t="n"/>
      <c r="M87" s="65">
        <f>IF(L87="","",INT((L87-Config!$B$9+WEEKDAY(Config!$B$9,2)-1)/7)+1)</f>
        <v/>
      </c>
      <c r="N87" s="66">
        <f>IF(L87="","",L87-2)</f>
        <v/>
      </c>
      <c r="O87" s="65" t="n"/>
      <c r="P87" s="65" t="n"/>
      <c r="Q87" s="65" t="n"/>
    </row>
    <row r="88">
      <c r="A88" s="65" t="n"/>
      <c r="B88" s="65" t="n"/>
      <c r="C88" s="65" t="n"/>
      <c r="D88" s="65" t="n"/>
      <c r="E88" s="65" t="n"/>
      <c r="F88" s="65" t="n"/>
      <c r="G88" s="65" t="n"/>
      <c r="H88" s="65" t="n"/>
      <c r="I88" s="65" t="n"/>
      <c r="J88" s="65" t="n"/>
      <c r="K88" s="65" t="n"/>
      <c r="L88" s="66" t="n"/>
      <c r="M88" s="65">
        <f>IF(L88="","",INT((L88-Config!$B$9+WEEKDAY(Config!$B$9,2)-1)/7)+1)</f>
        <v/>
      </c>
      <c r="N88" s="66">
        <f>IF(L88="","",L88-2)</f>
        <v/>
      </c>
      <c r="O88" s="65" t="n"/>
      <c r="P88" s="65" t="n"/>
      <c r="Q88" s="65" t="n"/>
    </row>
    <row r="89">
      <c r="A89" s="65" t="n"/>
      <c r="B89" s="65" t="n"/>
      <c r="C89" s="65" t="n"/>
      <c r="D89" s="65" t="n"/>
      <c r="E89" s="65" t="n"/>
      <c r="F89" s="65" t="n"/>
      <c r="G89" s="65" t="n"/>
      <c r="H89" s="65" t="n"/>
      <c r="I89" s="65" t="n"/>
      <c r="J89" s="65" t="n"/>
      <c r="K89" s="65" t="n"/>
      <c r="L89" s="66" t="n"/>
      <c r="M89" s="65">
        <f>IF(L89="","",INT((L89-Config!$B$9+WEEKDAY(Config!$B$9,2)-1)/7)+1)</f>
        <v/>
      </c>
      <c r="N89" s="66">
        <f>IF(L89="","",L89-2)</f>
        <v/>
      </c>
      <c r="O89" s="65" t="n"/>
      <c r="P89" s="65" t="n"/>
      <c r="Q89" s="65" t="n"/>
    </row>
    <row r="90">
      <c r="A90" s="65" t="n"/>
      <c r="B90" s="65" t="n"/>
      <c r="C90" s="65" t="n"/>
      <c r="D90" s="65" t="n"/>
      <c r="E90" s="65" t="n"/>
      <c r="F90" s="65" t="n"/>
      <c r="G90" s="65" t="n"/>
      <c r="H90" s="65" t="n"/>
      <c r="I90" s="65" t="n"/>
      <c r="J90" s="65" t="n"/>
      <c r="K90" s="65" t="n"/>
      <c r="L90" s="66" t="n"/>
      <c r="M90" s="65">
        <f>IF(L90="","",INT((L90-Config!$B$9+WEEKDAY(Config!$B$9,2)-1)/7)+1)</f>
        <v/>
      </c>
      <c r="N90" s="66">
        <f>IF(L90="","",L90-2)</f>
        <v/>
      </c>
      <c r="O90" s="65" t="n"/>
      <c r="P90" s="65" t="n"/>
      <c r="Q90" s="65" t="n"/>
    </row>
    <row r="91">
      <c r="A91" s="65" t="n"/>
      <c r="B91" s="65" t="n"/>
      <c r="C91" s="65" t="n"/>
      <c r="D91" s="65" t="n"/>
      <c r="E91" s="65" t="n"/>
      <c r="F91" s="65" t="n"/>
      <c r="G91" s="65" t="n"/>
      <c r="H91" s="65" t="n"/>
      <c r="I91" s="65" t="n"/>
      <c r="J91" s="65" t="n"/>
      <c r="K91" s="65" t="n"/>
      <c r="L91" s="66" t="n"/>
      <c r="M91" s="65">
        <f>IF(L91="","",INT((L91-Config!$B$9+WEEKDAY(Config!$B$9,2)-1)/7)+1)</f>
        <v/>
      </c>
      <c r="N91" s="66">
        <f>IF(L91="","",L91-2)</f>
        <v/>
      </c>
      <c r="O91" s="65" t="n"/>
      <c r="P91" s="65" t="n"/>
      <c r="Q91" s="65" t="n"/>
    </row>
    <row r="92">
      <c r="A92" s="65" t="n"/>
      <c r="B92" s="65" t="n"/>
      <c r="C92" s="65" t="n"/>
      <c r="D92" s="65" t="n"/>
      <c r="E92" s="65" t="n"/>
      <c r="F92" s="65" t="n"/>
      <c r="G92" s="65" t="n"/>
      <c r="H92" s="65" t="n"/>
      <c r="I92" s="65" t="n"/>
      <c r="J92" s="65" t="n"/>
      <c r="K92" s="65" t="n"/>
      <c r="L92" s="66" t="n"/>
      <c r="M92" s="65">
        <f>IF(L92="","",INT((L92-Config!$B$9+WEEKDAY(Config!$B$9,2)-1)/7)+1)</f>
        <v/>
      </c>
      <c r="N92" s="66">
        <f>IF(L92="","",L92-2)</f>
        <v/>
      </c>
      <c r="O92" s="65" t="n"/>
      <c r="P92" s="65" t="n"/>
      <c r="Q92" s="65" t="n"/>
    </row>
    <row r="93">
      <c r="A93" s="65" t="n"/>
      <c r="B93" s="65" t="n"/>
      <c r="C93" s="65" t="n"/>
      <c r="D93" s="65" t="n"/>
      <c r="E93" s="65" t="n"/>
      <c r="F93" s="65" t="n"/>
      <c r="G93" s="65" t="n"/>
      <c r="H93" s="65" t="n"/>
      <c r="I93" s="65" t="n"/>
      <c r="J93" s="65" t="n"/>
      <c r="K93" s="65" t="n"/>
      <c r="L93" s="66" t="n"/>
      <c r="M93" s="65">
        <f>IF(L93="","",INT((L93-Config!$B$9+WEEKDAY(Config!$B$9,2)-1)/7)+1)</f>
        <v/>
      </c>
      <c r="N93" s="66">
        <f>IF(L93="","",L93-2)</f>
        <v/>
      </c>
      <c r="O93" s="65" t="n"/>
      <c r="P93" s="65" t="n"/>
      <c r="Q93" s="65" t="n"/>
    </row>
    <row r="94">
      <c r="A94" s="65" t="n"/>
      <c r="B94" s="65" t="n"/>
      <c r="C94" s="65" t="n"/>
      <c r="D94" s="65" t="n"/>
      <c r="E94" s="65" t="n"/>
      <c r="F94" s="65" t="n"/>
      <c r="G94" s="65" t="n"/>
      <c r="H94" s="65" t="n"/>
      <c r="I94" s="65" t="n"/>
      <c r="J94" s="65" t="n"/>
      <c r="K94" s="65" t="n"/>
      <c r="L94" s="66" t="n"/>
      <c r="M94" s="65">
        <f>IF(L94="","",INT((L94-Config!$B$9+WEEKDAY(Config!$B$9,2)-1)/7)+1)</f>
        <v/>
      </c>
      <c r="N94" s="66">
        <f>IF(L94="","",L94-2)</f>
        <v/>
      </c>
      <c r="O94" s="65" t="n"/>
      <c r="P94" s="65" t="n"/>
      <c r="Q94" s="65" t="n"/>
    </row>
    <row r="95">
      <c r="A95" s="65" t="n"/>
      <c r="B95" s="65" t="n"/>
      <c r="C95" s="65" t="n"/>
      <c r="D95" s="65" t="n"/>
      <c r="E95" s="65" t="n"/>
      <c r="F95" s="65" t="n"/>
      <c r="G95" s="65" t="n"/>
      <c r="H95" s="65" t="n"/>
      <c r="I95" s="65" t="n"/>
      <c r="J95" s="65" t="n"/>
      <c r="K95" s="65" t="n"/>
      <c r="L95" s="66" t="n"/>
      <c r="M95" s="65">
        <f>IF(L95="","",INT((L95-Config!$B$9+WEEKDAY(Config!$B$9,2)-1)/7)+1)</f>
        <v/>
      </c>
      <c r="N95" s="66">
        <f>IF(L95="","",L95-2)</f>
        <v/>
      </c>
      <c r="O95" s="65" t="n"/>
      <c r="P95" s="65" t="n"/>
      <c r="Q95" s="65" t="n"/>
    </row>
    <row r="96">
      <c r="A96" s="65" t="n"/>
      <c r="B96" s="65" t="n"/>
      <c r="C96" s="65" t="n"/>
      <c r="D96" s="65" t="n"/>
      <c r="E96" s="65" t="n"/>
      <c r="F96" s="65" t="n"/>
      <c r="G96" s="65" t="n"/>
      <c r="H96" s="65" t="n"/>
      <c r="I96" s="65" t="n"/>
      <c r="J96" s="65" t="n"/>
      <c r="K96" s="65" t="n"/>
      <c r="L96" s="66" t="n"/>
      <c r="M96" s="65">
        <f>IF(L96="","",INT((L96-Config!$B$9+WEEKDAY(Config!$B$9,2)-1)/7)+1)</f>
        <v/>
      </c>
      <c r="N96" s="66">
        <f>IF(L96="","",L96-2)</f>
        <v/>
      </c>
      <c r="O96" s="65" t="n"/>
      <c r="P96" s="65" t="n"/>
      <c r="Q96" s="65" t="n"/>
    </row>
    <row r="97">
      <c r="A97" s="65" t="n"/>
      <c r="B97" s="65" t="n"/>
      <c r="C97" s="65" t="n"/>
      <c r="D97" s="65" t="n"/>
      <c r="E97" s="65" t="n"/>
      <c r="F97" s="65" t="n"/>
      <c r="G97" s="65" t="n"/>
      <c r="H97" s="65" t="n"/>
      <c r="I97" s="65" t="n"/>
      <c r="J97" s="65" t="n"/>
      <c r="K97" s="65" t="n"/>
      <c r="L97" s="66" t="n"/>
      <c r="M97" s="65">
        <f>IF(L97="","",INT((L97-Config!$B$9+WEEKDAY(Config!$B$9,2)-1)/7)+1)</f>
        <v/>
      </c>
      <c r="N97" s="66">
        <f>IF(L97="","",L97-2)</f>
        <v/>
      </c>
      <c r="O97" s="65" t="n"/>
      <c r="P97" s="65" t="n"/>
      <c r="Q97" s="65" t="n"/>
    </row>
    <row r="98">
      <c r="A98" s="65" t="n"/>
      <c r="B98" s="65" t="n"/>
      <c r="C98" s="65" t="n"/>
      <c r="D98" s="65" t="n"/>
      <c r="E98" s="65" t="n"/>
      <c r="F98" s="65" t="n"/>
      <c r="G98" s="65" t="n"/>
      <c r="H98" s="65" t="n"/>
      <c r="I98" s="65" t="n"/>
      <c r="J98" s="65" t="n"/>
      <c r="K98" s="65" t="n"/>
      <c r="L98" s="66" t="n"/>
      <c r="M98" s="65">
        <f>IF(L98="","",INT((L98-Config!$B$9+WEEKDAY(Config!$B$9,2)-1)/7)+1)</f>
        <v/>
      </c>
      <c r="N98" s="66">
        <f>IF(L98="","",L98-2)</f>
        <v/>
      </c>
      <c r="O98" s="65" t="n"/>
      <c r="P98" s="65" t="n"/>
      <c r="Q98" s="65" t="n"/>
    </row>
    <row r="99">
      <c r="A99" s="65" t="n"/>
      <c r="B99" s="65" t="n"/>
      <c r="C99" s="65" t="n"/>
      <c r="D99" s="65" t="n"/>
      <c r="E99" s="65" t="n"/>
      <c r="F99" s="65" t="n"/>
      <c r="G99" s="65" t="n"/>
      <c r="H99" s="65" t="n"/>
      <c r="I99" s="65" t="n"/>
      <c r="J99" s="65" t="n"/>
      <c r="K99" s="65" t="n"/>
      <c r="L99" s="66" t="n"/>
      <c r="M99" s="65">
        <f>IF(L99="","",INT((L99-Config!$B$9+WEEKDAY(Config!$B$9,2)-1)/7)+1)</f>
        <v/>
      </c>
      <c r="N99" s="66">
        <f>IF(L99="","",L99-2)</f>
        <v/>
      </c>
      <c r="O99" s="65" t="n"/>
      <c r="P99" s="65" t="n"/>
      <c r="Q99" s="65" t="n"/>
    </row>
    <row r="100">
      <c r="A100" s="65" t="n"/>
      <c r="B100" s="65" t="n"/>
      <c r="C100" s="65" t="n"/>
      <c r="D100" s="65" t="n"/>
      <c r="E100" s="65" t="n"/>
      <c r="F100" s="65" t="n"/>
      <c r="G100" s="65" t="n"/>
      <c r="H100" s="65" t="n"/>
      <c r="I100" s="65" t="n"/>
      <c r="J100" s="65" t="n"/>
      <c r="K100" s="65" t="n"/>
      <c r="L100" s="66" t="n"/>
      <c r="M100" s="65">
        <f>IF(L100="","",INT((L100-Config!$B$9+WEEKDAY(Config!$B$9,2)-1)/7)+1)</f>
        <v/>
      </c>
      <c r="N100" s="66">
        <f>IF(L100="","",L100-2)</f>
        <v/>
      </c>
      <c r="O100" s="65" t="n"/>
      <c r="P100" s="65" t="n"/>
      <c r="Q100" s="65" t="n"/>
    </row>
    <row r="101">
      <c r="A101" s="65" t="n"/>
      <c r="B101" s="65" t="n"/>
      <c r="C101" s="65" t="n"/>
      <c r="D101" s="65" t="n"/>
      <c r="E101" s="65" t="n"/>
      <c r="F101" s="65" t="n"/>
      <c r="G101" s="65" t="n"/>
      <c r="H101" s="65" t="n"/>
      <c r="I101" s="65" t="n"/>
      <c r="J101" s="65" t="n"/>
      <c r="K101" s="65" t="n"/>
      <c r="L101" s="66" t="n"/>
      <c r="M101" s="65">
        <f>IF(L101="","",INT((L101-Config!$B$9+WEEKDAY(Config!$B$9,2)-1)/7)+1)</f>
        <v/>
      </c>
      <c r="N101" s="66">
        <f>IF(L101="","",L101-2)</f>
        <v/>
      </c>
      <c r="O101" s="65" t="n"/>
      <c r="P101" s="65" t="n"/>
      <c r="Q101" s="65" t="n"/>
    </row>
    <row r="102">
      <c r="A102" s="65" t="n"/>
      <c r="B102" s="65" t="n"/>
      <c r="C102" s="65" t="n"/>
      <c r="D102" s="65" t="n"/>
      <c r="E102" s="65" t="n"/>
      <c r="F102" s="65" t="n"/>
      <c r="G102" s="65" t="n"/>
      <c r="H102" s="65" t="n"/>
      <c r="I102" s="65" t="n"/>
      <c r="J102" s="65" t="n"/>
      <c r="K102" s="65" t="n"/>
      <c r="L102" s="66" t="n"/>
      <c r="M102" s="65">
        <f>IF(L102="","",INT((L102-Config!$B$9+WEEKDAY(Config!$B$9,2)-1)/7)+1)</f>
        <v/>
      </c>
      <c r="N102" s="66">
        <f>IF(L102="","",L102-2)</f>
        <v/>
      </c>
      <c r="O102" s="65" t="n"/>
      <c r="P102" s="65" t="n"/>
      <c r="Q102" s="65" t="n"/>
    </row>
    <row r="103">
      <c r="A103" s="65" t="n"/>
      <c r="B103" s="65" t="n"/>
      <c r="C103" s="65" t="n"/>
      <c r="D103" s="65" t="n"/>
      <c r="E103" s="65" t="n"/>
      <c r="F103" s="65" t="n"/>
      <c r="G103" s="65" t="n"/>
      <c r="H103" s="65" t="n"/>
      <c r="I103" s="65" t="n"/>
      <c r="J103" s="65" t="n"/>
      <c r="K103" s="65" t="n"/>
      <c r="L103" s="66" t="n"/>
      <c r="M103" s="65">
        <f>IF(L103="","",INT((L103-Config!$B$9+WEEKDAY(Config!$B$9,2)-1)/7)+1)</f>
        <v/>
      </c>
      <c r="N103" s="66">
        <f>IF(L103="","",L103-2)</f>
        <v/>
      </c>
      <c r="O103" s="65" t="n"/>
      <c r="P103" s="65" t="n"/>
      <c r="Q103" s="65" t="n"/>
    </row>
    <row r="104">
      <c r="A104" s="65" t="n"/>
      <c r="B104" s="65" t="n"/>
      <c r="C104" s="65" t="n"/>
      <c r="D104" s="65" t="n"/>
      <c r="E104" s="65" t="n"/>
      <c r="F104" s="65" t="n"/>
      <c r="G104" s="65" t="n"/>
      <c r="H104" s="65" t="n"/>
      <c r="I104" s="65" t="n"/>
      <c r="J104" s="65" t="n"/>
      <c r="K104" s="65" t="n"/>
      <c r="L104" s="66" t="n"/>
      <c r="M104" s="65">
        <f>IF(L104="","",INT((L104-Config!$B$9+WEEKDAY(Config!$B$9,2)-1)/7)+1)</f>
        <v/>
      </c>
      <c r="N104" s="66">
        <f>IF(L104="","",L104-2)</f>
        <v/>
      </c>
      <c r="O104" s="65" t="n"/>
      <c r="P104" s="65" t="n"/>
      <c r="Q104" s="65" t="n"/>
    </row>
  </sheetData>
  <mergeCells count="2">
    <mergeCell ref="A2:Q2"/>
    <mergeCell ref="A1:Q1"/>
  </mergeCells>
  <conditionalFormatting sqref="P5:P104">
    <cfRule type="cellIs" priority="1" operator="equal" dxfId="6">
      <formula>"Published"</formula>
    </cfRule>
    <cfRule type="cellIs" priority="2" operator="equal" dxfId="7">
      <formula>"Draft"</formula>
    </cfRule>
    <cfRule type="cellIs" priority="3" operator="equal" dxfId="8">
      <formula>"Approved"</formula>
    </cfRule>
    <cfRule type="cellIs" priority="4" operator="equal" dxfId="9">
      <formula>"Review"</formula>
    </cfRule>
  </conditionalFormatting>
  <dataValidations count="5">
    <dataValidation sqref="C5:C104" showDropDown="0" showInputMessage="0" showErrorMessage="0" allowBlank="1" type="list">
      <formula1>"Hero,Hub,Hygiene"</formula1>
    </dataValidation>
    <dataValidation sqref="K5:K104" showDropDown="0" showInputMessage="0" showErrorMessage="0" allowBlank="1" type="list">
      <formula1>"Facebook,Zalo OA,Website,TikTok,Email"</formula1>
    </dataValidation>
    <dataValidation sqref="P5:P104" showDropDown="0" showInputMessage="0" showErrorMessage="0" allowBlank="1" type="list">
      <formula1>"Draft,Review,Approved,Published"</formula1>
    </dataValidation>
    <dataValidation sqref="D5:D104" showDropDown="0" showInputMessage="0" showErrorMessage="0" allowBlank="1" type="list">
      <formula1>"TOFU,MOFU,BOFU"</formula1>
    </dataValidation>
    <dataValidation sqref="L5:L104" showDropDown="0" showInputMessage="1" showErrorMessage="1" allowBlank="1" errorTitle="Ngày không hợp lệ" error="Vui lòng nhập một ngày hợp lệ theo định dạng dd/mm/yyyy (ví dụ 25/12/2026)." promptTitle="Nhập Ngày đăng" prompt="Nhập theo định dạng dd/mm/yyyy (ví dụ 25/12/2026). Ô đã đặt sẵn number format dd/mm/yyyy." type="date" operator="between">
      <formula1>DATE(2000,1,1)</formula1>
      <formula2>DATE(2100,12,31)</formula2>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10" customWidth="1" min="3" max="3"/>
    <col width="14" customWidth="1" min="4" max="4"/>
    <col width="26" customWidth="1" min="5" max="5"/>
    <col width="26" customWidth="1" min="6" max="6"/>
    <col width="26" customWidth="1" min="7" max="7"/>
    <col width="20" customWidth="1" min="8" max="8"/>
    <col width="40" customWidth="1" min="9" max="9"/>
    <col width="26" customWidth="1" min="10" max="10"/>
    <col width="12" customWidth="1" min="11" max="11"/>
    <col width="12" customWidth="1" min="12" max="12"/>
    <col width="10" customWidth="1" min="13" max="13"/>
    <col width="12" customWidth="1" min="14" max="14"/>
    <col width="16" customWidth="1" min="15" max="15"/>
    <col width="12" customWidth="1" min="16" max="16"/>
    <col width="22" customWidth="1" min="17" max="17"/>
  </cols>
  <sheetData>
    <row r="1" ht="28" customHeight="1">
      <c r="A1" s="73" t="inlineStr">
        <is>
          <t>TUẦN BUFFER: Tổng hợp đa Pillar / Newsjacking</t>
        </is>
      </c>
    </row>
    <row r="2" ht="18" customHeight="1">
      <c r="A2" s="63" t="inlineStr">
        <is>
          <t>Dùng để chèn nội dung newsjacking/thời sự phát sinh, hoặc tổng hợp bài xen ngang từ nhiều Pillar. Tuần được xếp làm buffer: Tuần 5</t>
        </is>
      </c>
    </row>
    <row r="4" ht="32" customHeight="1">
      <c r="A4" s="74" t="inlineStr">
        <is>
          <t>Mã Cluster</t>
        </is>
      </c>
      <c r="B4" s="74" t="inlineStr">
        <is>
          <t>Tên bài/Chủ đề</t>
        </is>
      </c>
      <c r="C4" s="74" t="inlineStr">
        <is>
          <t>Loại 3H</t>
        </is>
      </c>
      <c r="D4" s="74" t="inlineStr">
        <is>
          <t>Mục tiêu phễu
(TOFU/MOFU/BOFU)</t>
        </is>
      </c>
      <c r="E4" s="74" t="inlineStr">
        <is>
          <t>Persona mục tiêu</t>
        </is>
      </c>
      <c r="F4" s="74" t="inlineStr">
        <is>
          <t>Từ khóa chính</t>
        </is>
      </c>
      <c r="G4" s="74" t="inlineStr">
        <is>
          <t>Tone giọng điệu</t>
        </is>
      </c>
      <c r="H4" s="74" t="inlineStr">
        <is>
          <t>Độ dài mong muốn</t>
        </is>
      </c>
      <c r="I4" s="74" t="inlineStr">
        <is>
          <t>Outline/Dàn ý chính</t>
        </is>
      </c>
      <c r="J4" s="74" t="inlineStr">
        <is>
          <t>CTA mong muốn</t>
        </is>
      </c>
      <c r="K4" s="74" t="inlineStr">
        <is>
          <t>Kênh đăng</t>
        </is>
      </c>
      <c r="L4" s="74" t="inlineStr">
        <is>
          <t>Ngày đăng</t>
        </is>
      </c>
      <c r="M4" s="74" t="inlineStr">
        <is>
          <t>Tuần (auto)</t>
        </is>
      </c>
      <c r="N4" s="74" t="inlineStr">
        <is>
          <t>Deadline</t>
        </is>
      </c>
      <c r="O4" s="74" t="inlineStr">
        <is>
          <t>Người phụ trách</t>
        </is>
      </c>
      <c r="P4" s="74" t="inlineStr">
        <is>
          <t>Trạng thái</t>
        </is>
      </c>
      <c r="Q4" s="74" t="inlineStr">
        <is>
          <t>KPI dự kiến</t>
        </is>
      </c>
    </row>
    <row r="5">
      <c r="A5" s="65" t="n"/>
      <c r="B5" s="65" t="n"/>
      <c r="C5" s="65" t="n"/>
      <c r="D5" s="65" t="n"/>
      <c r="E5" s="65" t="n"/>
      <c r="F5" s="65" t="n"/>
      <c r="G5" s="65" t="n"/>
      <c r="H5" s="65" t="n"/>
      <c r="I5" s="65" t="n"/>
      <c r="J5" s="65" t="n"/>
      <c r="K5" s="65" t="n"/>
      <c r="L5" s="66" t="n"/>
      <c r="M5" s="65">
        <f>IF(L5="","",INT((L5-Config!$B$9+WEEKDAY(Config!$B$9,2)-1)/7)+1)</f>
        <v/>
      </c>
      <c r="N5" s="66">
        <f>IF(L5="","",L5-2)</f>
        <v/>
      </c>
      <c r="O5" s="65" t="n"/>
      <c r="P5" s="65" t="n"/>
      <c r="Q5" s="65" t="n"/>
    </row>
    <row r="6">
      <c r="A6" s="65" t="n"/>
      <c r="B6" s="65" t="n"/>
      <c r="C6" s="65" t="n"/>
      <c r="D6" s="65" t="n"/>
      <c r="E6" s="65" t="n"/>
      <c r="F6" s="65" t="n"/>
      <c r="G6" s="65" t="n"/>
      <c r="H6" s="65" t="n"/>
      <c r="I6" s="65" t="n"/>
      <c r="J6" s="65" t="n"/>
      <c r="K6" s="65" t="n"/>
      <c r="L6" s="66" t="n"/>
      <c r="M6" s="65">
        <f>IF(L6="","",INT((L6-Config!$B$9+WEEKDAY(Config!$B$9,2)-1)/7)+1)</f>
        <v/>
      </c>
      <c r="N6" s="66">
        <f>IF(L6="","",L6-2)</f>
        <v/>
      </c>
      <c r="O6" s="65" t="n"/>
      <c r="P6" s="65" t="n"/>
      <c r="Q6" s="65" t="n"/>
    </row>
    <row r="7">
      <c r="A7" s="65" t="n"/>
      <c r="B7" s="65" t="n"/>
      <c r="C7" s="65" t="n"/>
      <c r="D7" s="65" t="n"/>
      <c r="E7" s="65" t="n"/>
      <c r="F7" s="65" t="n"/>
      <c r="G7" s="65" t="n"/>
      <c r="H7" s="65" t="n"/>
      <c r="I7" s="65" t="n"/>
      <c r="J7" s="65" t="n"/>
      <c r="K7" s="65" t="n"/>
      <c r="L7" s="66" t="n"/>
      <c r="M7" s="65">
        <f>IF(L7="","",INT((L7-Config!$B$9+WEEKDAY(Config!$B$9,2)-1)/7)+1)</f>
        <v/>
      </c>
      <c r="N7" s="66">
        <f>IF(L7="","",L7-2)</f>
        <v/>
      </c>
      <c r="O7" s="65" t="n"/>
      <c r="P7" s="65" t="n"/>
      <c r="Q7" s="65" t="n"/>
    </row>
    <row r="8">
      <c r="A8" s="65" t="n"/>
      <c r="B8" s="65" t="n"/>
      <c r="C8" s="65" t="n"/>
      <c r="D8" s="65" t="n"/>
      <c r="E8" s="65" t="n"/>
      <c r="F8" s="65" t="n"/>
      <c r="G8" s="65" t="n"/>
      <c r="H8" s="65" t="n"/>
      <c r="I8" s="65" t="n"/>
      <c r="J8" s="65" t="n"/>
      <c r="K8" s="65" t="n"/>
      <c r="L8" s="66" t="n"/>
      <c r="M8" s="65">
        <f>IF(L8="","",INT((L8-Config!$B$9+WEEKDAY(Config!$B$9,2)-1)/7)+1)</f>
        <v/>
      </c>
      <c r="N8" s="66">
        <f>IF(L8="","",L8-2)</f>
        <v/>
      </c>
      <c r="O8" s="65" t="n"/>
      <c r="P8" s="65" t="n"/>
      <c r="Q8" s="65" t="n"/>
    </row>
    <row r="9">
      <c r="A9" s="65" t="n"/>
      <c r="B9" s="65" t="n"/>
      <c r="C9" s="65" t="n"/>
      <c r="D9" s="65" t="n"/>
      <c r="E9" s="65" t="n"/>
      <c r="F9" s="65" t="n"/>
      <c r="G9" s="65" t="n"/>
      <c r="H9" s="65" t="n"/>
      <c r="I9" s="65" t="n"/>
      <c r="J9" s="65" t="n"/>
      <c r="K9" s="65" t="n"/>
      <c r="L9" s="66" t="n"/>
      <c r="M9" s="65">
        <f>IF(L9="","",INT((L9-Config!$B$9+WEEKDAY(Config!$B$9,2)-1)/7)+1)</f>
        <v/>
      </c>
      <c r="N9" s="66">
        <f>IF(L9="","",L9-2)</f>
        <v/>
      </c>
      <c r="O9" s="65" t="n"/>
      <c r="P9" s="65" t="n"/>
      <c r="Q9" s="65" t="n"/>
    </row>
    <row r="10">
      <c r="A10" s="65" t="n"/>
      <c r="B10" s="65" t="n"/>
      <c r="C10" s="65" t="n"/>
      <c r="D10" s="65" t="n"/>
      <c r="E10" s="65" t="n"/>
      <c r="F10" s="65" t="n"/>
      <c r="G10" s="65" t="n"/>
      <c r="H10" s="65" t="n"/>
      <c r="I10" s="65" t="n"/>
      <c r="J10" s="65" t="n"/>
      <c r="K10" s="65" t="n"/>
      <c r="L10" s="66" t="n"/>
      <c r="M10" s="65">
        <f>IF(L10="","",INT((L10-Config!$B$9+WEEKDAY(Config!$B$9,2)-1)/7)+1)</f>
        <v/>
      </c>
      <c r="N10" s="66">
        <f>IF(L10="","",L10-2)</f>
        <v/>
      </c>
      <c r="O10" s="65" t="n"/>
      <c r="P10" s="65" t="n"/>
      <c r="Q10" s="65" t="n"/>
    </row>
    <row r="11">
      <c r="A11" s="65" t="n"/>
      <c r="B11" s="65" t="n"/>
      <c r="C11" s="65" t="n"/>
      <c r="D11" s="65" t="n"/>
      <c r="E11" s="65" t="n"/>
      <c r="F11" s="65" t="n"/>
      <c r="G11" s="65" t="n"/>
      <c r="H11" s="65" t="n"/>
      <c r="I11" s="65" t="n"/>
      <c r="J11" s="65" t="n"/>
      <c r="K11" s="65" t="n"/>
      <c r="L11" s="66" t="n"/>
      <c r="M11" s="65">
        <f>IF(L11="","",INT((L11-Config!$B$9+WEEKDAY(Config!$B$9,2)-1)/7)+1)</f>
        <v/>
      </c>
      <c r="N11" s="66">
        <f>IF(L11="","",L11-2)</f>
        <v/>
      </c>
      <c r="O11" s="65" t="n"/>
      <c r="P11" s="65" t="n"/>
      <c r="Q11" s="65" t="n"/>
    </row>
    <row r="12">
      <c r="A12" s="65" t="n"/>
      <c r="B12" s="65" t="n"/>
      <c r="C12" s="65" t="n"/>
      <c r="D12" s="65" t="n"/>
      <c r="E12" s="65" t="n"/>
      <c r="F12" s="65" t="n"/>
      <c r="G12" s="65" t="n"/>
      <c r="H12" s="65" t="n"/>
      <c r="I12" s="65" t="n"/>
      <c r="J12" s="65" t="n"/>
      <c r="K12" s="65" t="n"/>
      <c r="L12" s="66" t="n"/>
      <c r="M12" s="65">
        <f>IF(L12="","",INT((L12-Config!$B$9+WEEKDAY(Config!$B$9,2)-1)/7)+1)</f>
        <v/>
      </c>
      <c r="N12" s="66">
        <f>IF(L12="","",L12-2)</f>
        <v/>
      </c>
      <c r="O12" s="65" t="n"/>
      <c r="P12" s="65" t="n"/>
      <c r="Q12" s="65" t="n"/>
    </row>
    <row r="13">
      <c r="A13" s="65" t="n"/>
      <c r="B13" s="65" t="n"/>
      <c r="C13" s="65" t="n"/>
      <c r="D13" s="65" t="n"/>
      <c r="E13" s="65" t="n"/>
      <c r="F13" s="65" t="n"/>
      <c r="G13" s="65" t="n"/>
      <c r="H13" s="65" t="n"/>
      <c r="I13" s="65" t="n"/>
      <c r="J13" s="65" t="n"/>
      <c r="K13" s="65" t="n"/>
      <c r="L13" s="66" t="n"/>
      <c r="M13" s="65">
        <f>IF(L13="","",INT((L13-Config!$B$9+WEEKDAY(Config!$B$9,2)-1)/7)+1)</f>
        <v/>
      </c>
      <c r="N13" s="66">
        <f>IF(L13="","",L13-2)</f>
        <v/>
      </c>
      <c r="O13" s="65" t="n"/>
      <c r="P13" s="65" t="n"/>
      <c r="Q13" s="65" t="n"/>
    </row>
    <row r="14">
      <c r="A14" s="65" t="n"/>
      <c r="B14" s="65" t="n"/>
      <c r="C14" s="65" t="n"/>
      <c r="D14" s="65" t="n"/>
      <c r="E14" s="65" t="n"/>
      <c r="F14" s="65" t="n"/>
      <c r="G14" s="65" t="n"/>
      <c r="H14" s="65" t="n"/>
      <c r="I14" s="65" t="n"/>
      <c r="J14" s="65" t="n"/>
      <c r="K14" s="65" t="n"/>
      <c r="L14" s="66" t="n"/>
      <c r="M14" s="65">
        <f>IF(L14="","",INT((L14-Config!$B$9+WEEKDAY(Config!$B$9,2)-1)/7)+1)</f>
        <v/>
      </c>
      <c r="N14" s="66">
        <f>IF(L14="","",L14-2)</f>
        <v/>
      </c>
      <c r="O14" s="65" t="n"/>
      <c r="P14" s="65" t="n"/>
      <c r="Q14" s="65" t="n"/>
    </row>
    <row r="15">
      <c r="A15" s="65" t="n"/>
      <c r="B15" s="65" t="n"/>
      <c r="C15" s="65" t="n"/>
      <c r="D15" s="65" t="n"/>
      <c r="E15" s="65" t="n"/>
      <c r="F15" s="65" t="n"/>
      <c r="G15" s="65" t="n"/>
      <c r="H15" s="65" t="n"/>
      <c r="I15" s="65" t="n"/>
      <c r="J15" s="65" t="n"/>
      <c r="K15" s="65" t="n"/>
      <c r="L15" s="66" t="n"/>
      <c r="M15" s="65">
        <f>IF(L15="","",INT((L15-Config!$B$9+WEEKDAY(Config!$B$9,2)-1)/7)+1)</f>
        <v/>
      </c>
      <c r="N15" s="66">
        <f>IF(L15="","",L15-2)</f>
        <v/>
      </c>
      <c r="O15" s="65" t="n"/>
      <c r="P15" s="65" t="n"/>
      <c r="Q15" s="65" t="n"/>
    </row>
    <row r="16">
      <c r="A16" s="65" t="n"/>
      <c r="B16" s="65" t="n"/>
      <c r="C16" s="65" t="n"/>
      <c r="D16" s="65" t="n"/>
      <c r="E16" s="65" t="n"/>
      <c r="F16" s="65" t="n"/>
      <c r="G16" s="65" t="n"/>
      <c r="H16" s="65" t="n"/>
      <c r="I16" s="65" t="n"/>
      <c r="J16" s="65" t="n"/>
      <c r="K16" s="65" t="n"/>
      <c r="L16" s="66" t="n"/>
      <c r="M16" s="65">
        <f>IF(L16="","",INT((L16-Config!$B$9+WEEKDAY(Config!$B$9,2)-1)/7)+1)</f>
        <v/>
      </c>
      <c r="N16" s="66">
        <f>IF(L16="","",L16-2)</f>
        <v/>
      </c>
      <c r="O16" s="65" t="n"/>
      <c r="P16" s="65" t="n"/>
      <c r="Q16" s="65" t="n"/>
    </row>
    <row r="17">
      <c r="A17" s="65" t="n"/>
      <c r="B17" s="65" t="n"/>
      <c r="C17" s="65" t="n"/>
      <c r="D17" s="65" t="n"/>
      <c r="E17" s="65" t="n"/>
      <c r="F17" s="65" t="n"/>
      <c r="G17" s="65" t="n"/>
      <c r="H17" s="65" t="n"/>
      <c r="I17" s="65" t="n"/>
      <c r="J17" s="65" t="n"/>
      <c r="K17" s="65" t="n"/>
      <c r="L17" s="66" t="n"/>
      <c r="M17" s="65">
        <f>IF(L17="","",INT((L17-Config!$B$9+WEEKDAY(Config!$B$9,2)-1)/7)+1)</f>
        <v/>
      </c>
      <c r="N17" s="66">
        <f>IF(L17="","",L17-2)</f>
        <v/>
      </c>
      <c r="O17" s="65" t="n"/>
      <c r="P17" s="65" t="n"/>
      <c r="Q17" s="65" t="n"/>
    </row>
    <row r="18">
      <c r="A18" s="65" t="n"/>
      <c r="B18" s="65" t="n"/>
      <c r="C18" s="65" t="n"/>
      <c r="D18" s="65" t="n"/>
      <c r="E18" s="65" t="n"/>
      <c r="F18" s="65" t="n"/>
      <c r="G18" s="65" t="n"/>
      <c r="H18" s="65" t="n"/>
      <c r="I18" s="65" t="n"/>
      <c r="J18" s="65" t="n"/>
      <c r="K18" s="65" t="n"/>
      <c r="L18" s="66" t="n"/>
      <c r="M18" s="65">
        <f>IF(L18="","",INT((L18-Config!$B$9+WEEKDAY(Config!$B$9,2)-1)/7)+1)</f>
        <v/>
      </c>
      <c r="N18" s="66">
        <f>IF(L18="","",L18-2)</f>
        <v/>
      </c>
      <c r="O18" s="65" t="n"/>
      <c r="P18" s="65" t="n"/>
      <c r="Q18" s="65" t="n"/>
    </row>
    <row r="19">
      <c r="A19" s="65" t="n"/>
      <c r="B19" s="65" t="n"/>
      <c r="C19" s="65" t="n"/>
      <c r="D19" s="65" t="n"/>
      <c r="E19" s="65" t="n"/>
      <c r="F19" s="65" t="n"/>
      <c r="G19" s="65" t="n"/>
      <c r="H19" s="65" t="n"/>
      <c r="I19" s="65" t="n"/>
      <c r="J19" s="65" t="n"/>
      <c r="K19" s="65" t="n"/>
      <c r="L19" s="66" t="n"/>
      <c r="M19" s="65">
        <f>IF(L19="","",INT((L19-Config!$B$9+WEEKDAY(Config!$B$9,2)-1)/7)+1)</f>
        <v/>
      </c>
      <c r="N19" s="66">
        <f>IF(L19="","",L19-2)</f>
        <v/>
      </c>
      <c r="O19" s="65" t="n"/>
      <c r="P19" s="65" t="n"/>
      <c r="Q19" s="65" t="n"/>
    </row>
    <row r="20">
      <c r="A20" s="65" t="n"/>
      <c r="B20" s="65" t="n"/>
      <c r="C20" s="65" t="n"/>
      <c r="D20" s="65" t="n"/>
      <c r="E20" s="65" t="n"/>
      <c r="F20" s="65" t="n"/>
      <c r="G20" s="65" t="n"/>
      <c r="H20" s="65" t="n"/>
      <c r="I20" s="65" t="n"/>
      <c r="J20" s="65" t="n"/>
      <c r="K20" s="65" t="n"/>
      <c r="L20" s="66" t="n"/>
      <c r="M20" s="65">
        <f>IF(L20="","",INT((L20-Config!$B$9+WEEKDAY(Config!$B$9,2)-1)/7)+1)</f>
        <v/>
      </c>
      <c r="N20" s="66">
        <f>IF(L20="","",L20-2)</f>
        <v/>
      </c>
      <c r="O20" s="65" t="n"/>
      <c r="P20" s="65" t="n"/>
      <c r="Q20" s="65" t="n"/>
    </row>
    <row r="21">
      <c r="A21" s="65" t="n"/>
      <c r="B21" s="65" t="n"/>
      <c r="C21" s="65" t="n"/>
      <c r="D21" s="65" t="n"/>
      <c r="E21" s="65" t="n"/>
      <c r="F21" s="65" t="n"/>
      <c r="G21" s="65" t="n"/>
      <c r="H21" s="65" t="n"/>
      <c r="I21" s="65" t="n"/>
      <c r="J21" s="65" t="n"/>
      <c r="K21" s="65" t="n"/>
      <c r="L21" s="66" t="n"/>
      <c r="M21" s="65">
        <f>IF(L21="","",INT((L21-Config!$B$9+WEEKDAY(Config!$B$9,2)-1)/7)+1)</f>
        <v/>
      </c>
      <c r="N21" s="66">
        <f>IF(L21="","",L21-2)</f>
        <v/>
      </c>
      <c r="O21" s="65" t="n"/>
      <c r="P21" s="65" t="n"/>
      <c r="Q21" s="65" t="n"/>
    </row>
    <row r="22">
      <c r="A22" s="65" t="n"/>
      <c r="B22" s="65" t="n"/>
      <c r="C22" s="65" t="n"/>
      <c r="D22" s="65" t="n"/>
      <c r="E22" s="65" t="n"/>
      <c r="F22" s="65" t="n"/>
      <c r="G22" s="65" t="n"/>
      <c r="H22" s="65" t="n"/>
      <c r="I22" s="65" t="n"/>
      <c r="J22" s="65" t="n"/>
      <c r="K22" s="65" t="n"/>
      <c r="L22" s="66" t="n"/>
      <c r="M22" s="65">
        <f>IF(L22="","",INT((L22-Config!$B$9+WEEKDAY(Config!$B$9,2)-1)/7)+1)</f>
        <v/>
      </c>
      <c r="N22" s="66">
        <f>IF(L22="","",L22-2)</f>
        <v/>
      </c>
      <c r="O22" s="65" t="n"/>
      <c r="P22" s="65" t="n"/>
      <c r="Q22" s="65" t="n"/>
    </row>
    <row r="23">
      <c r="A23" s="65" t="n"/>
      <c r="B23" s="65" t="n"/>
      <c r="C23" s="65" t="n"/>
      <c r="D23" s="65" t="n"/>
      <c r="E23" s="65" t="n"/>
      <c r="F23" s="65" t="n"/>
      <c r="G23" s="65" t="n"/>
      <c r="H23" s="65" t="n"/>
      <c r="I23" s="65" t="n"/>
      <c r="J23" s="65" t="n"/>
      <c r="K23" s="65" t="n"/>
      <c r="L23" s="66" t="n"/>
      <c r="M23" s="65">
        <f>IF(L23="","",INT((L23-Config!$B$9+WEEKDAY(Config!$B$9,2)-1)/7)+1)</f>
        <v/>
      </c>
      <c r="N23" s="66">
        <f>IF(L23="","",L23-2)</f>
        <v/>
      </c>
      <c r="O23" s="65" t="n"/>
      <c r="P23" s="65" t="n"/>
      <c r="Q23" s="65" t="n"/>
    </row>
    <row r="24">
      <c r="A24" s="65" t="n"/>
      <c r="B24" s="65" t="n"/>
      <c r="C24" s="65" t="n"/>
      <c r="D24" s="65" t="n"/>
      <c r="E24" s="65" t="n"/>
      <c r="F24" s="65" t="n"/>
      <c r="G24" s="65" t="n"/>
      <c r="H24" s="65" t="n"/>
      <c r="I24" s="65" t="n"/>
      <c r="J24" s="65" t="n"/>
      <c r="K24" s="65" t="n"/>
      <c r="L24" s="66" t="n"/>
      <c r="M24" s="65">
        <f>IF(L24="","",INT((L24-Config!$B$9+WEEKDAY(Config!$B$9,2)-1)/7)+1)</f>
        <v/>
      </c>
      <c r="N24" s="66">
        <f>IF(L24="","",L24-2)</f>
        <v/>
      </c>
      <c r="O24" s="65" t="n"/>
      <c r="P24" s="65" t="n"/>
      <c r="Q24" s="65" t="n"/>
    </row>
    <row r="25">
      <c r="A25" s="65" t="n"/>
      <c r="B25" s="65" t="n"/>
      <c r="C25" s="65" t="n"/>
      <c r="D25" s="65" t="n"/>
      <c r="E25" s="65" t="n"/>
      <c r="F25" s="65" t="n"/>
      <c r="G25" s="65" t="n"/>
      <c r="H25" s="65" t="n"/>
      <c r="I25" s="65" t="n"/>
      <c r="J25" s="65" t="n"/>
      <c r="K25" s="65" t="n"/>
      <c r="L25" s="66" t="n"/>
      <c r="M25" s="65">
        <f>IF(L25="","",INT((L25-Config!$B$9+WEEKDAY(Config!$B$9,2)-1)/7)+1)</f>
        <v/>
      </c>
      <c r="N25" s="66">
        <f>IF(L25="","",L25-2)</f>
        <v/>
      </c>
      <c r="O25" s="65" t="n"/>
      <c r="P25" s="65" t="n"/>
      <c r="Q25" s="65" t="n"/>
    </row>
    <row r="26">
      <c r="A26" s="65" t="n"/>
      <c r="B26" s="65" t="n"/>
      <c r="C26" s="65" t="n"/>
      <c r="D26" s="65" t="n"/>
      <c r="E26" s="65" t="n"/>
      <c r="F26" s="65" t="n"/>
      <c r="G26" s="65" t="n"/>
      <c r="H26" s="65" t="n"/>
      <c r="I26" s="65" t="n"/>
      <c r="J26" s="65" t="n"/>
      <c r="K26" s="65" t="n"/>
      <c r="L26" s="66" t="n"/>
      <c r="M26" s="65">
        <f>IF(L26="","",INT((L26-Config!$B$9+WEEKDAY(Config!$B$9,2)-1)/7)+1)</f>
        <v/>
      </c>
      <c r="N26" s="66">
        <f>IF(L26="","",L26-2)</f>
        <v/>
      </c>
      <c r="O26" s="65" t="n"/>
      <c r="P26" s="65" t="n"/>
      <c r="Q26" s="65" t="n"/>
    </row>
    <row r="27">
      <c r="A27" s="65" t="n"/>
      <c r="B27" s="65" t="n"/>
      <c r="C27" s="65" t="n"/>
      <c r="D27" s="65" t="n"/>
      <c r="E27" s="65" t="n"/>
      <c r="F27" s="65" t="n"/>
      <c r="G27" s="65" t="n"/>
      <c r="H27" s="65" t="n"/>
      <c r="I27" s="65" t="n"/>
      <c r="J27" s="65" t="n"/>
      <c r="K27" s="65" t="n"/>
      <c r="L27" s="66" t="n"/>
      <c r="M27" s="65">
        <f>IF(L27="","",INT((L27-Config!$B$9+WEEKDAY(Config!$B$9,2)-1)/7)+1)</f>
        <v/>
      </c>
      <c r="N27" s="66">
        <f>IF(L27="","",L27-2)</f>
        <v/>
      </c>
      <c r="O27" s="65" t="n"/>
      <c r="P27" s="65" t="n"/>
      <c r="Q27" s="65" t="n"/>
    </row>
    <row r="28">
      <c r="A28" s="65" t="n"/>
      <c r="B28" s="65" t="n"/>
      <c r="C28" s="65" t="n"/>
      <c r="D28" s="65" t="n"/>
      <c r="E28" s="65" t="n"/>
      <c r="F28" s="65" t="n"/>
      <c r="G28" s="65" t="n"/>
      <c r="H28" s="65" t="n"/>
      <c r="I28" s="65" t="n"/>
      <c r="J28" s="65" t="n"/>
      <c r="K28" s="65" t="n"/>
      <c r="L28" s="66" t="n"/>
      <c r="M28" s="65">
        <f>IF(L28="","",INT((L28-Config!$B$9+WEEKDAY(Config!$B$9,2)-1)/7)+1)</f>
        <v/>
      </c>
      <c r="N28" s="66">
        <f>IF(L28="","",L28-2)</f>
        <v/>
      </c>
      <c r="O28" s="65" t="n"/>
      <c r="P28" s="65" t="n"/>
      <c r="Q28" s="65" t="n"/>
    </row>
    <row r="29">
      <c r="A29" s="65" t="n"/>
      <c r="B29" s="65" t="n"/>
      <c r="C29" s="65" t="n"/>
      <c r="D29" s="65" t="n"/>
      <c r="E29" s="65" t="n"/>
      <c r="F29" s="65" t="n"/>
      <c r="G29" s="65" t="n"/>
      <c r="H29" s="65" t="n"/>
      <c r="I29" s="65" t="n"/>
      <c r="J29" s="65" t="n"/>
      <c r="K29" s="65" t="n"/>
      <c r="L29" s="66" t="n"/>
      <c r="M29" s="65">
        <f>IF(L29="","",INT((L29-Config!$B$9+WEEKDAY(Config!$B$9,2)-1)/7)+1)</f>
        <v/>
      </c>
      <c r="N29" s="66">
        <f>IF(L29="","",L29-2)</f>
        <v/>
      </c>
      <c r="O29" s="65" t="n"/>
      <c r="P29" s="65" t="n"/>
      <c r="Q29" s="65" t="n"/>
    </row>
    <row r="30">
      <c r="A30" s="65" t="n"/>
      <c r="B30" s="65" t="n"/>
      <c r="C30" s="65" t="n"/>
      <c r="D30" s="65" t="n"/>
      <c r="E30" s="65" t="n"/>
      <c r="F30" s="65" t="n"/>
      <c r="G30" s="65" t="n"/>
      <c r="H30" s="65" t="n"/>
      <c r="I30" s="65" t="n"/>
      <c r="J30" s="65" t="n"/>
      <c r="K30" s="65" t="n"/>
      <c r="L30" s="66" t="n"/>
      <c r="M30" s="65">
        <f>IF(L30="","",INT((L30-Config!$B$9+WEEKDAY(Config!$B$9,2)-1)/7)+1)</f>
        <v/>
      </c>
      <c r="N30" s="66">
        <f>IF(L30="","",L30-2)</f>
        <v/>
      </c>
      <c r="O30" s="65" t="n"/>
      <c r="P30" s="65" t="n"/>
      <c r="Q30" s="65" t="n"/>
    </row>
    <row r="31">
      <c r="A31" s="65" t="n"/>
      <c r="B31" s="65" t="n"/>
      <c r="C31" s="65" t="n"/>
      <c r="D31" s="65" t="n"/>
      <c r="E31" s="65" t="n"/>
      <c r="F31" s="65" t="n"/>
      <c r="G31" s="65" t="n"/>
      <c r="H31" s="65" t="n"/>
      <c r="I31" s="65" t="n"/>
      <c r="J31" s="65" t="n"/>
      <c r="K31" s="65" t="n"/>
      <c r="L31" s="66" t="n"/>
      <c r="M31" s="65">
        <f>IF(L31="","",INT((L31-Config!$B$9+WEEKDAY(Config!$B$9,2)-1)/7)+1)</f>
        <v/>
      </c>
      <c r="N31" s="66">
        <f>IF(L31="","",L31-2)</f>
        <v/>
      </c>
      <c r="O31" s="65" t="n"/>
      <c r="P31" s="65" t="n"/>
      <c r="Q31" s="65" t="n"/>
    </row>
    <row r="32">
      <c r="A32" s="65" t="n"/>
      <c r="B32" s="65" t="n"/>
      <c r="C32" s="65" t="n"/>
      <c r="D32" s="65" t="n"/>
      <c r="E32" s="65" t="n"/>
      <c r="F32" s="65" t="n"/>
      <c r="G32" s="65" t="n"/>
      <c r="H32" s="65" t="n"/>
      <c r="I32" s="65" t="n"/>
      <c r="J32" s="65" t="n"/>
      <c r="K32" s="65" t="n"/>
      <c r="L32" s="66" t="n"/>
      <c r="M32" s="65">
        <f>IF(L32="","",INT((L32-Config!$B$9+WEEKDAY(Config!$B$9,2)-1)/7)+1)</f>
        <v/>
      </c>
      <c r="N32" s="66">
        <f>IF(L32="","",L32-2)</f>
        <v/>
      </c>
      <c r="O32" s="65" t="n"/>
      <c r="P32" s="65" t="n"/>
      <c r="Q32" s="65" t="n"/>
    </row>
    <row r="33">
      <c r="A33" s="65" t="n"/>
      <c r="B33" s="65" t="n"/>
      <c r="C33" s="65" t="n"/>
      <c r="D33" s="65" t="n"/>
      <c r="E33" s="65" t="n"/>
      <c r="F33" s="65" t="n"/>
      <c r="G33" s="65" t="n"/>
      <c r="H33" s="65" t="n"/>
      <c r="I33" s="65" t="n"/>
      <c r="J33" s="65" t="n"/>
      <c r="K33" s="65" t="n"/>
      <c r="L33" s="66" t="n"/>
      <c r="M33" s="65">
        <f>IF(L33="","",INT((L33-Config!$B$9+WEEKDAY(Config!$B$9,2)-1)/7)+1)</f>
        <v/>
      </c>
      <c r="N33" s="66">
        <f>IF(L33="","",L33-2)</f>
        <v/>
      </c>
      <c r="O33" s="65" t="n"/>
      <c r="P33" s="65" t="n"/>
      <c r="Q33" s="65" t="n"/>
    </row>
    <row r="34">
      <c r="A34" s="65" t="n"/>
      <c r="B34" s="65" t="n"/>
      <c r="C34" s="65" t="n"/>
      <c r="D34" s="65" t="n"/>
      <c r="E34" s="65" t="n"/>
      <c r="F34" s="65" t="n"/>
      <c r="G34" s="65" t="n"/>
      <c r="H34" s="65" t="n"/>
      <c r="I34" s="65" t="n"/>
      <c r="J34" s="65" t="n"/>
      <c r="K34" s="65" t="n"/>
      <c r="L34" s="66" t="n"/>
      <c r="M34" s="65">
        <f>IF(L34="","",INT((L34-Config!$B$9+WEEKDAY(Config!$B$9,2)-1)/7)+1)</f>
        <v/>
      </c>
      <c r="N34" s="66">
        <f>IF(L34="","",L34-2)</f>
        <v/>
      </c>
      <c r="O34" s="65" t="n"/>
      <c r="P34" s="65" t="n"/>
      <c r="Q34" s="65" t="n"/>
    </row>
    <row r="35">
      <c r="A35" s="65" t="n"/>
      <c r="B35" s="65" t="n"/>
      <c r="C35" s="65" t="n"/>
      <c r="D35" s="65" t="n"/>
      <c r="E35" s="65" t="n"/>
      <c r="F35" s="65" t="n"/>
      <c r="G35" s="65" t="n"/>
      <c r="H35" s="65" t="n"/>
      <c r="I35" s="65" t="n"/>
      <c r="J35" s="65" t="n"/>
      <c r="K35" s="65" t="n"/>
      <c r="L35" s="66" t="n"/>
      <c r="M35" s="65">
        <f>IF(L35="","",INT((L35-Config!$B$9+WEEKDAY(Config!$B$9,2)-1)/7)+1)</f>
        <v/>
      </c>
      <c r="N35" s="66">
        <f>IF(L35="","",L35-2)</f>
        <v/>
      </c>
      <c r="O35" s="65" t="n"/>
      <c r="P35" s="65" t="n"/>
      <c r="Q35" s="65" t="n"/>
    </row>
    <row r="36">
      <c r="A36" s="65" t="n"/>
      <c r="B36" s="65" t="n"/>
      <c r="C36" s="65" t="n"/>
      <c r="D36" s="65" t="n"/>
      <c r="E36" s="65" t="n"/>
      <c r="F36" s="65" t="n"/>
      <c r="G36" s="65" t="n"/>
      <c r="H36" s="65" t="n"/>
      <c r="I36" s="65" t="n"/>
      <c r="J36" s="65" t="n"/>
      <c r="K36" s="65" t="n"/>
      <c r="L36" s="66" t="n"/>
      <c r="M36" s="65">
        <f>IF(L36="","",INT((L36-Config!$B$9+WEEKDAY(Config!$B$9,2)-1)/7)+1)</f>
        <v/>
      </c>
      <c r="N36" s="66">
        <f>IF(L36="","",L36-2)</f>
        <v/>
      </c>
      <c r="O36" s="65" t="n"/>
      <c r="P36" s="65" t="n"/>
      <c r="Q36" s="65" t="n"/>
    </row>
    <row r="37">
      <c r="A37" s="65" t="n"/>
      <c r="B37" s="65" t="n"/>
      <c r="C37" s="65" t="n"/>
      <c r="D37" s="65" t="n"/>
      <c r="E37" s="65" t="n"/>
      <c r="F37" s="65" t="n"/>
      <c r="G37" s="65" t="n"/>
      <c r="H37" s="65" t="n"/>
      <c r="I37" s="65" t="n"/>
      <c r="J37" s="65" t="n"/>
      <c r="K37" s="65" t="n"/>
      <c r="L37" s="66" t="n"/>
      <c r="M37" s="65">
        <f>IF(L37="","",INT((L37-Config!$B$9+WEEKDAY(Config!$B$9,2)-1)/7)+1)</f>
        <v/>
      </c>
      <c r="N37" s="66">
        <f>IF(L37="","",L37-2)</f>
        <v/>
      </c>
      <c r="O37" s="65" t="n"/>
      <c r="P37" s="65" t="n"/>
      <c r="Q37" s="65" t="n"/>
    </row>
    <row r="38">
      <c r="A38" s="65" t="n"/>
      <c r="B38" s="65" t="n"/>
      <c r="C38" s="65" t="n"/>
      <c r="D38" s="65" t="n"/>
      <c r="E38" s="65" t="n"/>
      <c r="F38" s="65" t="n"/>
      <c r="G38" s="65" t="n"/>
      <c r="H38" s="65" t="n"/>
      <c r="I38" s="65" t="n"/>
      <c r="J38" s="65" t="n"/>
      <c r="K38" s="65" t="n"/>
      <c r="L38" s="66" t="n"/>
      <c r="M38" s="65">
        <f>IF(L38="","",INT((L38-Config!$B$9+WEEKDAY(Config!$B$9,2)-1)/7)+1)</f>
        <v/>
      </c>
      <c r="N38" s="66">
        <f>IF(L38="","",L38-2)</f>
        <v/>
      </c>
      <c r="O38" s="65" t="n"/>
      <c r="P38" s="65" t="n"/>
      <c r="Q38" s="65" t="n"/>
    </row>
    <row r="39">
      <c r="A39" s="65" t="n"/>
      <c r="B39" s="65" t="n"/>
      <c r="C39" s="65" t="n"/>
      <c r="D39" s="65" t="n"/>
      <c r="E39" s="65" t="n"/>
      <c r="F39" s="65" t="n"/>
      <c r="G39" s="65" t="n"/>
      <c r="H39" s="65" t="n"/>
      <c r="I39" s="65" t="n"/>
      <c r="J39" s="65" t="n"/>
      <c r="K39" s="65" t="n"/>
      <c r="L39" s="66" t="n"/>
      <c r="M39" s="65">
        <f>IF(L39="","",INT((L39-Config!$B$9+WEEKDAY(Config!$B$9,2)-1)/7)+1)</f>
        <v/>
      </c>
      <c r="N39" s="66">
        <f>IF(L39="","",L39-2)</f>
        <v/>
      </c>
      <c r="O39" s="65" t="n"/>
      <c r="P39" s="65" t="n"/>
      <c r="Q39" s="65" t="n"/>
    </row>
    <row r="40">
      <c r="A40" s="65" t="n"/>
      <c r="B40" s="65" t="n"/>
      <c r="C40" s="65" t="n"/>
      <c r="D40" s="65" t="n"/>
      <c r="E40" s="65" t="n"/>
      <c r="F40" s="65" t="n"/>
      <c r="G40" s="65" t="n"/>
      <c r="H40" s="65" t="n"/>
      <c r="I40" s="65" t="n"/>
      <c r="J40" s="65" t="n"/>
      <c r="K40" s="65" t="n"/>
      <c r="L40" s="66" t="n"/>
      <c r="M40" s="65">
        <f>IF(L40="","",INT((L40-Config!$B$9+WEEKDAY(Config!$B$9,2)-1)/7)+1)</f>
        <v/>
      </c>
      <c r="N40" s="66">
        <f>IF(L40="","",L40-2)</f>
        <v/>
      </c>
      <c r="O40" s="65" t="n"/>
      <c r="P40" s="65" t="n"/>
      <c r="Q40" s="65" t="n"/>
    </row>
    <row r="41">
      <c r="A41" s="65" t="n"/>
      <c r="B41" s="65" t="n"/>
      <c r="C41" s="65" t="n"/>
      <c r="D41" s="65" t="n"/>
      <c r="E41" s="65" t="n"/>
      <c r="F41" s="65" t="n"/>
      <c r="G41" s="65" t="n"/>
      <c r="H41" s="65" t="n"/>
      <c r="I41" s="65" t="n"/>
      <c r="J41" s="65" t="n"/>
      <c r="K41" s="65" t="n"/>
      <c r="L41" s="66" t="n"/>
      <c r="M41" s="65">
        <f>IF(L41="","",INT((L41-Config!$B$9+WEEKDAY(Config!$B$9,2)-1)/7)+1)</f>
        <v/>
      </c>
      <c r="N41" s="66">
        <f>IF(L41="","",L41-2)</f>
        <v/>
      </c>
      <c r="O41" s="65" t="n"/>
      <c r="P41" s="65" t="n"/>
      <c r="Q41" s="65" t="n"/>
    </row>
    <row r="42">
      <c r="A42" s="65" t="n"/>
      <c r="B42" s="65" t="n"/>
      <c r="C42" s="65" t="n"/>
      <c r="D42" s="65" t="n"/>
      <c r="E42" s="65" t="n"/>
      <c r="F42" s="65" t="n"/>
      <c r="G42" s="65" t="n"/>
      <c r="H42" s="65" t="n"/>
      <c r="I42" s="65" t="n"/>
      <c r="J42" s="65" t="n"/>
      <c r="K42" s="65" t="n"/>
      <c r="L42" s="66" t="n"/>
      <c r="M42" s="65">
        <f>IF(L42="","",INT((L42-Config!$B$9+WEEKDAY(Config!$B$9,2)-1)/7)+1)</f>
        <v/>
      </c>
      <c r="N42" s="66">
        <f>IF(L42="","",L42-2)</f>
        <v/>
      </c>
      <c r="O42" s="65" t="n"/>
      <c r="P42" s="65" t="n"/>
      <c r="Q42" s="65" t="n"/>
    </row>
    <row r="43">
      <c r="A43" s="65" t="n"/>
      <c r="B43" s="65" t="n"/>
      <c r="C43" s="65" t="n"/>
      <c r="D43" s="65" t="n"/>
      <c r="E43" s="65" t="n"/>
      <c r="F43" s="65" t="n"/>
      <c r="G43" s="65" t="n"/>
      <c r="H43" s="65" t="n"/>
      <c r="I43" s="65" t="n"/>
      <c r="J43" s="65" t="n"/>
      <c r="K43" s="65" t="n"/>
      <c r="L43" s="66" t="n"/>
      <c r="M43" s="65">
        <f>IF(L43="","",INT((L43-Config!$B$9+WEEKDAY(Config!$B$9,2)-1)/7)+1)</f>
        <v/>
      </c>
      <c r="N43" s="66">
        <f>IF(L43="","",L43-2)</f>
        <v/>
      </c>
      <c r="O43" s="65" t="n"/>
      <c r="P43" s="65" t="n"/>
      <c r="Q43" s="65" t="n"/>
    </row>
    <row r="44">
      <c r="A44" s="65" t="n"/>
      <c r="B44" s="65" t="n"/>
      <c r="C44" s="65" t="n"/>
      <c r="D44" s="65" t="n"/>
      <c r="E44" s="65" t="n"/>
      <c r="F44" s="65" t="n"/>
      <c r="G44" s="65" t="n"/>
      <c r="H44" s="65" t="n"/>
      <c r="I44" s="65" t="n"/>
      <c r="J44" s="65" t="n"/>
      <c r="K44" s="65" t="n"/>
      <c r="L44" s="66" t="n"/>
      <c r="M44" s="65">
        <f>IF(L44="","",INT((L44-Config!$B$9+WEEKDAY(Config!$B$9,2)-1)/7)+1)</f>
        <v/>
      </c>
      <c r="N44" s="66">
        <f>IF(L44="","",L44-2)</f>
        <v/>
      </c>
      <c r="O44" s="65" t="n"/>
      <c r="P44" s="65" t="n"/>
      <c r="Q44" s="65" t="n"/>
    </row>
    <row r="45">
      <c r="A45" s="65" t="n"/>
      <c r="B45" s="65" t="n"/>
      <c r="C45" s="65" t="n"/>
      <c r="D45" s="65" t="n"/>
      <c r="E45" s="65" t="n"/>
      <c r="F45" s="65" t="n"/>
      <c r="G45" s="65" t="n"/>
      <c r="H45" s="65" t="n"/>
      <c r="I45" s="65" t="n"/>
      <c r="J45" s="65" t="n"/>
      <c r="K45" s="65" t="n"/>
      <c r="L45" s="66" t="n"/>
      <c r="M45" s="65">
        <f>IF(L45="","",INT((L45-Config!$B$9+WEEKDAY(Config!$B$9,2)-1)/7)+1)</f>
        <v/>
      </c>
      <c r="N45" s="66">
        <f>IF(L45="","",L45-2)</f>
        <v/>
      </c>
      <c r="O45" s="65" t="n"/>
      <c r="P45" s="65" t="n"/>
      <c r="Q45" s="65" t="n"/>
    </row>
    <row r="46">
      <c r="A46" s="65" t="n"/>
      <c r="B46" s="65" t="n"/>
      <c r="C46" s="65" t="n"/>
      <c r="D46" s="65" t="n"/>
      <c r="E46" s="65" t="n"/>
      <c r="F46" s="65" t="n"/>
      <c r="G46" s="65" t="n"/>
      <c r="H46" s="65" t="n"/>
      <c r="I46" s="65" t="n"/>
      <c r="J46" s="65" t="n"/>
      <c r="K46" s="65" t="n"/>
      <c r="L46" s="66" t="n"/>
      <c r="M46" s="65">
        <f>IF(L46="","",INT((L46-Config!$B$9+WEEKDAY(Config!$B$9,2)-1)/7)+1)</f>
        <v/>
      </c>
      <c r="N46" s="66">
        <f>IF(L46="","",L46-2)</f>
        <v/>
      </c>
      <c r="O46" s="65" t="n"/>
      <c r="P46" s="65" t="n"/>
      <c r="Q46" s="65" t="n"/>
    </row>
    <row r="47">
      <c r="A47" s="65" t="n"/>
      <c r="B47" s="65" t="n"/>
      <c r="C47" s="65" t="n"/>
      <c r="D47" s="65" t="n"/>
      <c r="E47" s="65" t="n"/>
      <c r="F47" s="65" t="n"/>
      <c r="G47" s="65" t="n"/>
      <c r="H47" s="65" t="n"/>
      <c r="I47" s="65" t="n"/>
      <c r="J47" s="65" t="n"/>
      <c r="K47" s="65" t="n"/>
      <c r="L47" s="66" t="n"/>
      <c r="M47" s="65">
        <f>IF(L47="","",INT((L47-Config!$B$9+WEEKDAY(Config!$B$9,2)-1)/7)+1)</f>
        <v/>
      </c>
      <c r="N47" s="66">
        <f>IF(L47="","",L47-2)</f>
        <v/>
      </c>
      <c r="O47" s="65" t="n"/>
      <c r="P47" s="65" t="n"/>
      <c r="Q47" s="65" t="n"/>
    </row>
    <row r="48">
      <c r="A48" s="65" t="n"/>
      <c r="B48" s="65" t="n"/>
      <c r="C48" s="65" t="n"/>
      <c r="D48" s="65" t="n"/>
      <c r="E48" s="65" t="n"/>
      <c r="F48" s="65" t="n"/>
      <c r="G48" s="65" t="n"/>
      <c r="H48" s="65" t="n"/>
      <c r="I48" s="65" t="n"/>
      <c r="J48" s="65" t="n"/>
      <c r="K48" s="65" t="n"/>
      <c r="L48" s="66" t="n"/>
      <c r="M48" s="65">
        <f>IF(L48="","",INT((L48-Config!$B$9+WEEKDAY(Config!$B$9,2)-1)/7)+1)</f>
        <v/>
      </c>
      <c r="N48" s="66">
        <f>IF(L48="","",L48-2)</f>
        <v/>
      </c>
      <c r="O48" s="65" t="n"/>
      <c r="P48" s="65" t="n"/>
      <c r="Q48" s="65" t="n"/>
    </row>
    <row r="49">
      <c r="A49" s="65" t="n"/>
      <c r="B49" s="65" t="n"/>
      <c r="C49" s="65" t="n"/>
      <c r="D49" s="65" t="n"/>
      <c r="E49" s="65" t="n"/>
      <c r="F49" s="65" t="n"/>
      <c r="G49" s="65" t="n"/>
      <c r="H49" s="65" t="n"/>
      <c r="I49" s="65" t="n"/>
      <c r="J49" s="65" t="n"/>
      <c r="K49" s="65" t="n"/>
      <c r="L49" s="66" t="n"/>
      <c r="M49" s="65">
        <f>IF(L49="","",INT((L49-Config!$B$9+WEEKDAY(Config!$B$9,2)-1)/7)+1)</f>
        <v/>
      </c>
      <c r="N49" s="66">
        <f>IF(L49="","",L49-2)</f>
        <v/>
      </c>
      <c r="O49" s="65" t="n"/>
      <c r="P49" s="65" t="n"/>
      <c r="Q49" s="65" t="n"/>
    </row>
    <row r="50">
      <c r="A50" s="65" t="n"/>
      <c r="B50" s="65" t="n"/>
      <c r="C50" s="65" t="n"/>
      <c r="D50" s="65" t="n"/>
      <c r="E50" s="65" t="n"/>
      <c r="F50" s="65" t="n"/>
      <c r="G50" s="65" t="n"/>
      <c r="H50" s="65" t="n"/>
      <c r="I50" s="65" t="n"/>
      <c r="J50" s="65" t="n"/>
      <c r="K50" s="65" t="n"/>
      <c r="L50" s="66" t="n"/>
      <c r="M50" s="65">
        <f>IF(L50="","",INT((L50-Config!$B$9+WEEKDAY(Config!$B$9,2)-1)/7)+1)</f>
        <v/>
      </c>
      <c r="N50" s="66">
        <f>IF(L50="","",L50-2)</f>
        <v/>
      </c>
      <c r="O50" s="65" t="n"/>
      <c r="P50" s="65" t="n"/>
      <c r="Q50" s="65" t="n"/>
    </row>
    <row r="51">
      <c r="A51" s="65" t="n"/>
      <c r="B51" s="65" t="n"/>
      <c r="C51" s="65" t="n"/>
      <c r="D51" s="65" t="n"/>
      <c r="E51" s="65" t="n"/>
      <c r="F51" s="65" t="n"/>
      <c r="G51" s="65" t="n"/>
      <c r="H51" s="65" t="n"/>
      <c r="I51" s="65" t="n"/>
      <c r="J51" s="65" t="n"/>
      <c r="K51" s="65" t="n"/>
      <c r="L51" s="66" t="n"/>
      <c r="M51" s="65">
        <f>IF(L51="","",INT((L51-Config!$B$9+WEEKDAY(Config!$B$9,2)-1)/7)+1)</f>
        <v/>
      </c>
      <c r="N51" s="66">
        <f>IF(L51="","",L51-2)</f>
        <v/>
      </c>
      <c r="O51" s="65" t="n"/>
      <c r="P51" s="65" t="n"/>
      <c r="Q51" s="65" t="n"/>
    </row>
    <row r="52">
      <c r="A52" s="65" t="n"/>
      <c r="B52" s="65" t="n"/>
      <c r="C52" s="65" t="n"/>
      <c r="D52" s="65" t="n"/>
      <c r="E52" s="65" t="n"/>
      <c r="F52" s="65" t="n"/>
      <c r="G52" s="65" t="n"/>
      <c r="H52" s="65" t="n"/>
      <c r="I52" s="65" t="n"/>
      <c r="J52" s="65" t="n"/>
      <c r="K52" s="65" t="n"/>
      <c r="L52" s="66" t="n"/>
      <c r="M52" s="65">
        <f>IF(L52="","",INT((L52-Config!$B$9+WEEKDAY(Config!$B$9,2)-1)/7)+1)</f>
        <v/>
      </c>
      <c r="N52" s="66">
        <f>IF(L52="","",L52-2)</f>
        <v/>
      </c>
      <c r="O52" s="65" t="n"/>
      <c r="P52" s="65" t="n"/>
      <c r="Q52" s="65" t="n"/>
    </row>
    <row r="53">
      <c r="A53" s="65" t="n"/>
      <c r="B53" s="65" t="n"/>
      <c r="C53" s="65" t="n"/>
      <c r="D53" s="65" t="n"/>
      <c r="E53" s="65" t="n"/>
      <c r="F53" s="65" t="n"/>
      <c r="G53" s="65" t="n"/>
      <c r="H53" s="65" t="n"/>
      <c r="I53" s="65" t="n"/>
      <c r="J53" s="65" t="n"/>
      <c r="K53" s="65" t="n"/>
      <c r="L53" s="66" t="n"/>
      <c r="M53" s="65">
        <f>IF(L53="","",INT((L53-Config!$B$9+WEEKDAY(Config!$B$9,2)-1)/7)+1)</f>
        <v/>
      </c>
      <c r="N53" s="66">
        <f>IF(L53="","",L53-2)</f>
        <v/>
      </c>
      <c r="O53" s="65" t="n"/>
      <c r="P53" s="65" t="n"/>
      <c r="Q53" s="65" t="n"/>
    </row>
    <row r="54">
      <c r="A54" s="65" t="n"/>
      <c r="B54" s="65" t="n"/>
      <c r="C54" s="65" t="n"/>
      <c r="D54" s="65" t="n"/>
      <c r="E54" s="65" t="n"/>
      <c r="F54" s="65" t="n"/>
      <c r="G54" s="65" t="n"/>
      <c r="H54" s="65" t="n"/>
      <c r="I54" s="65" t="n"/>
      <c r="J54" s="65" t="n"/>
      <c r="K54" s="65" t="n"/>
      <c r="L54" s="66" t="n"/>
      <c r="M54" s="65">
        <f>IF(L54="","",INT((L54-Config!$B$9+WEEKDAY(Config!$B$9,2)-1)/7)+1)</f>
        <v/>
      </c>
      <c r="N54" s="66">
        <f>IF(L54="","",L54-2)</f>
        <v/>
      </c>
      <c r="O54" s="65" t="n"/>
      <c r="P54" s="65" t="n"/>
      <c r="Q54" s="65" t="n"/>
    </row>
    <row r="55">
      <c r="A55" s="65" t="n"/>
      <c r="B55" s="65" t="n"/>
      <c r="C55" s="65" t="n"/>
      <c r="D55" s="65" t="n"/>
      <c r="E55" s="65" t="n"/>
      <c r="F55" s="65" t="n"/>
      <c r="G55" s="65" t="n"/>
      <c r="H55" s="65" t="n"/>
      <c r="I55" s="65" t="n"/>
      <c r="J55" s="65" t="n"/>
      <c r="K55" s="65" t="n"/>
      <c r="L55" s="66" t="n"/>
      <c r="M55" s="65">
        <f>IF(L55="","",INT((L55-Config!$B$9+WEEKDAY(Config!$B$9,2)-1)/7)+1)</f>
        <v/>
      </c>
      <c r="N55" s="66">
        <f>IF(L55="","",L55-2)</f>
        <v/>
      </c>
      <c r="O55" s="65" t="n"/>
      <c r="P55" s="65" t="n"/>
      <c r="Q55" s="65" t="n"/>
    </row>
    <row r="56">
      <c r="A56" s="65" t="n"/>
      <c r="B56" s="65" t="n"/>
      <c r="C56" s="65" t="n"/>
      <c r="D56" s="65" t="n"/>
      <c r="E56" s="65" t="n"/>
      <c r="F56" s="65" t="n"/>
      <c r="G56" s="65" t="n"/>
      <c r="H56" s="65" t="n"/>
      <c r="I56" s="65" t="n"/>
      <c r="J56" s="65" t="n"/>
      <c r="K56" s="65" t="n"/>
      <c r="L56" s="66" t="n"/>
      <c r="M56" s="65">
        <f>IF(L56="","",INT((L56-Config!$B$9+WEEKDAY(Config!$B$9,2)-1)/7)+1)</f>
        <v/>
      </c>
      <c r="N56" s="66">
        <f>IF(L56="","",L56-2)</f>
        <v/>
      </c>
      <c r="O56" s="65" t="n"/>
      <c r="P56" s="65" t="n"/>
      <c r="Q56" s="65" t="n"/>
    </row>
    <row r="57">
      <c r="A57" s="65" t="n"/>
      <c r="B57" s="65" t="n"/>
      <c r="C57" s="65" t="n"/>
      <c r="D57" s="65" t="n"/>
      <c r="E57" s="65" t="n"/>
      <c r="F57" s="65" t="n"/>
      <c r="G57" s="65" t="n"/>
      <c r="H57" s="65" t="n"/>
      <c r="I57" s="65" t="n"/>
      <c r="J57" s="65" t="n"/>
      <c r="K57" s="65" t="n"/>
      <c r="L57" s="66" t="n"/>
      <c r="M57" s="65">
        <f>IF(L57="","",INT((L57-Config!$B$9+WEEKDAY(Config!$B$9,2)-1)/7)+1)</f>
        <v/>
      </c>
      <c r="N57" s="66">
        <f>IF(L57="","",L57-2)</f>
        <v/>
      </c>
      <c r="O57" s="65" t="n"/>
      <c r="P57" s="65" t="n"/>
      <c r="Q57" s="65" t="n"/>
    </row>
    <row r="58">
      <c r="A58" s="65" t="n"/>
      <c r="B58" s="65" t="n"/>
      <c r="C58" s="65" t="n"/>
      <c r="D58" s="65" t="n"/>
      <c r="E58" s="65" t="n"/>
      <c r="F58" s="65" t="n"/>
      <c r="G58" s="65" t="n"/>
      <c r="H58" s="65" t="n"/>
      <c r="I58" s="65" t="n"/>
      <c r="J58" s="65" t="n"/>
      <c r="K58" s="65" t="n"/>
      <c r="L58" s="66" t="n"/>
      <c r="M58" s="65">
        <f>IF(L58="","",INT((L58-Config!$B$9+WEEKDAY(Config!$B$9,2)-1)/7)+1)</f>
        <v/>
      </c>
      <c r="N58" s="66">
        <f>IF(L58="","",L58-2)</f>
        <v/>
      </c>
      <c r="O58" s="65" t="n"/>
      <c r="P58" s="65" t="n"/>
      <c r="Q58" s="65" t="n"/>
    </row>
    <row r="59">
      <c r="A59" s="65" t="n"/>
      <c r="B59" s="65" t="n"/>
      <c r="C59" s="65" t="n"/>
      <c r="D59" s="65" t="n"/>
      <c r="E59" s="65" t="n"/>
      <c r="F59" s="65" t="n"/>
      <c r="G59" s="65" t="n"/>
      <c r="H59" s="65" t="n"/>
      <c r="I59" s="65" t="n"/>
      <c r="J59" s="65" t="n"/>
      <c r="K59" s="65" t="n"/>
      <c r="L59" s="66" t="n"/>
      <c r="M59" s="65">
        <f>IF(L59="","",INT((L59-Config!$B$9+WEEKDAY(Config!$B$9,2)-1)/7)+1)</f>
        <v/>
      </c>
      <c r="N59" s="66">
        <f>IF(L59="","",L59-2)</f>
        <v/>
      </c>
      <c r="O59" s="65" t="n"/>
      <c r="P59" s="65" t="n"/>
      <c r="Q59" s="65" t="n"/>
    </row>
    <row r="60">
      <c r="A60" s="65" t="n"/>
      <c r="B60" s="65" t="n"/>
      <c r="C60" s="65" t="n"/>
      <c r="D60" s="65" t="n"/>
      <c r="E60" s="65" t="n"/>
      <c r="F60" s="65" t="n"/>
      <c r="G60" s="65" t="n"/>
      <c r="H60" s="65" t="n"/>
      <c r="I60" s="65" t="n"/>
      <c r="J60" s="65" t="n"/>
      <c r="K60" s="65" t="n"/>
      <c r="L60" s="66" t="n"/>
      <c r="M60" s="65">
        <f>IF(L60="","",INT((L60-Config!$B$9+WEEKDAY(Config!$B$9,2)-1)/7)+1)</f>
        <v/>
      </c>
      <c r="N60" s="66">
        <f>IF(L60="","",L60-2)</f>
        <v/>
      </c>
      <c r="O60" s="65" t="n"/>
      <c r="P60" s="65" t="n"/>
      <c r="Q60" s="65" t="n"/>
    </row>
    <row r="61">
      <c r="A61" s="65" t="n"/>
      <c r="B61" s="65" t="n"/>
      <c r="C61" s="65" t="n"/>
      <c r="D61" s="65" t="n"/>
      <c r="E61" s="65" t="n"/>
      <c r="F61" s="65" t="n"/>
      <c r="G61" s="65" t="n"/>
      <c r="H61" s="65" t="n"/>
      <c r="I61" s="65" t="n"/>
      <c r="J61" s="65" t="n"/>
      <c r="K61" s="65" t="n"/>
      <c r="L61" s="66" t="n"/>
      <c r="M61" s="65">
        <f>IF(L61="","",INT((L61-Config!$B$9+WEEKDAY(Config!$B$9,2)-1)/7)+1)</f>
        <v/>
      </c>
      <c r="N61" s="66">
        <f>IF(L61="","",L61-2)</f>
        <v/>
      </c>
      <c r="O61" s="65" t="n"/>
      <c r="P61" s="65" t="n"/>
      <c r="Q61" s="65" t="n"/>
    </row>
    <row r="62">
      <c r="A62" s="65" t="n"/>
      <c r="B62" s="65" t="n"/>
      <c r="C62" s="65" t="n"/>
      <c r="D62" s="65" t="n"/>
      <c r="E62" s="65" t="n"/>
      <c r="F62" s="65" t="n"/>
      <c r="G62" s="65" t="n"/>
      <c r="H62" s="65" t="n"/>
      <c r="I62" s="65" t="n"/>
      <c r="J62" s="65" t="n"/>
      <c r="K62" s="65" t="n"/>
      <c r="L62" s="66" t="n"/>
      <c r="M62" s="65">
        <f>IF(L62="","",INT((L62-Config!$B$9+WEEKDAY(Config!$B$9,2)-1)/7)+1)</f>
        <v/>
      </c>
      <c r="N62" s="66">
        <f>IF(L62="","",L62-2)</f>
        <v/>
      </c>
      <c r="O62" s="65" t="n"/>
      <c r="P62" s="65" t="n"/>
      <c r="Q62" s="65" t="n"/>
    </row>
    <row r="63">
      <c r="A63" s="65" t="n"/>
      <c r="B63" s="65" t="n"/>
      <c r="C63" s="65" t="n"/>
      <c r="D63" s="65" t="n"/>
      <c r="E63" s="65" t="n"/>
      <c r="F63" s="65" t="n"/>
      <c r="G63" s="65" t="n"/>
      <c r="H63" s="65" t="n"/>
      <c r="I63" s="65" t="n"/>
      <c r="J63" s="65" t="n"/>
      <c r="K63" s="65" t="n"/>
      <c r="L63" s="66" t="n"/>
      <c r="M63" s="65">
        <f>IF(L63="","",INT((L63-Config!$B$9+WEEKDAY(Config!$B$9,2)-1)/7)+1)</f>
        <v/>
      </c>
      <c r="N63" s="66">
        <f>IF(L63="","",L63-2)</f>
        <v/>
      </c>
      <c r="O63" s="65" t="n"/>
      <c r="P63" s="65" t="n"/>
      <c r="Q63" s="65" t="n"/>
    </row>
    <row r="64">
      <c r="A64" s="65" t="n"/>
      <c r="B64" s="65" t="n"/>
      <c r="C64" s="65" t="n"/>
      <c r="D64" s="65" t="n"/>
      <c r="E64" s="65" t="n"/>
      <c r="F64" s="65" t="n"/>
      <c r="G64" s="65" t="n"/>
      <c r="H64" s="65" t="n"/>
      <c r="I64" s="65" t="n"/>
      <c r="J64" s="65" t="n"/>
      <c r="K64" s="65" t="n"/>
      <c r="L64" s="66" t="n"/>
      <c r="M64" s="65">
        <f>IF(L64="","",INT((L64-Config!$B$9+WEEKDAY(Config!$B$9,2)-1)/7)+1)</f>
        <v/>
      </c>
      <c r="N64" s="66">
        <f>IF(L64="","",L64-2)</f>
        <v/>
      </c>
      <c r="O64" s="65" t="n"/>
      <c r="P64" s="65" t="n"/>
      <c r="Q64" s="65" t="n"/>
    </row>
    <row r="65">
      <c r="A65" s="65" t="n"/>
      <c r="B65" s="65" t="n"/>
      <c r="C65" s="65" t="n"/>
      <c r="D65" s="65" t="n"/>
      <c r="E65" s="65" t="n"/>
      <c r="F65" s="65" t="n"/>
      <c r="G65" s="65" t="n"/>
      <c r="H65" s="65" t="n"/>
      <c r="I65" s="65" t="n"/>
      <c r="J65" s="65" t="n"/>
      <c r="K65" s="65" t="n"/>
      <c r="L65" s="66" t="n"/>
      <c r="M65" s="65">
        <f>IF(L65="","",INT((L65-Config!$B$9+WEEKDAY(Config!$B$9,2)-1)/7)+1)</f>
        <v/>
      </c>
      <c r="N65" s="66">
        <f>IF(L65="","",L65-2)</f>
        <v/>
      </c>
      <c r="O65" s="65" t="n"/>
      <c r="P65" s="65" t="n"/>
      <c r="Q65" s="65" t="n"/>
    </row>
    <row r="66">
      <c r="A66" s="65" t="n"/>
      <c r="B66" s="65" t="n"/>
      <c r="C66" s="65" t="n"/>
      <c r="D66" s="65" t="n"/>
      <c r="E66" s="65" t="n"/>
      <c r="F66" s="65" t="n"/>
      <c r="G66" s="65" t="n"/>
      <c r="H66" s="65" t="n"/>
      <c r="I66" s="65" t="n"/>
      <c r="J66" s="65" t="n"/>
      <c r="K66" s="65" t="n"/>
      <c r="L66" s="66" t="n"/>
      <c r="M66" s="65">
        <f>IF(L66="","",INT((L66-Config!$B$9+WEEKDAY(Config!$B$9,2)-1)/7)+1)</f>
        <v/>
      </c>
      <c r="N66" s="66">
        <f>IF(L66="","",L66-2)</f>
        <v/>
      </c>
      <c r="O66" s="65" t="n"/>
      <c r="P66" s="65" t="n"/>
      <c r="Q66" s="65" t="n"/>
    </row>
    <row r="67">
      <c r="A67" s="65" t="n"/>
      <c r="B67" s="65" t="n"/>
      <c r="C67" s="65" t="n"/>
      <c r="D67" s="65" t="n"/>
      <c r="E67" s="65" t="n"/>
      <c r="F67" s="65" t="n"/>
      <c r="G67" s="65" t="n"/>
      <c r="H67" s="65" t="n"/>
      <c r="I67" s="65" t="n"/>
      <c r="J67" s="65" t="n"/>
      <c r="K67" s="65" t="n"/>
      <c r="L67" s="66" t="n"/>
      <c r="M67" s="65">
        <f>IF(L67="","",INT((L67-Config!$B$9+WEEKDAY(Config!$B$9,2)-1)/7)+1)</f>
        <v/>
      </c>
      <c r="N67" s="66">
        <f>IF(L67="","",L67-2)</f>
        <v/>
      </c>
      <c r="O67" s="65" t="n"/>
      <c r="P67" s="65" t="n"/>
      <c r="Q67" s="65" t="n"/>
    </row>
    <row r="68">
      <c r="A68" s="65" t="n"/>
      <c r="B68" s="65" t="n"/>
      <c r="C68" s="65" t="n"/>
      <c r="D68" s="65" t="n"/>
      <c r="E68" s="65" t="n"/>
      <c r="F68" s="65" t="n"/>
      <c r="G68" s="65" t="n"/>
      <c r="H68" s="65" t="n"/>
      <c r="I68" s="65" t="n"/>
      <c r="J68" s="65" t="n"/>
      <c r="K68" s="65" t="n"/>
      <c r="L68" s="66" t="n"/>
      <c r="M68" s="65">
        <f>IF(L68="","",INT((L68-Config!$B$9+WEEKDAY(Config!$B$9,2)-1)/7)+1)</f>
        <v/>
      </c>
      <c r="N68" s="66">
        <f>IF(L68="","",L68-2)</f>
        <v/>
      </c>
      <c r="O68" s="65" t="n"/>
      <c r="P68" s="65" t="n"/>
      <c r="Q68" s="65" t="n"/>
    </row>
    <row r="69">
      <c r="A69" s="65" t="n"/>
      <c r="B69" s="65" t="n"/>
      <c r="C69" s="65" t="n"/>
      <c r="D69" s="65" t="n"/>
      <c r="E69" s="65" t="n"/>
      <c r="F69" s="65" t="n"/>
      <c r="G69" s="65" t="n"/>
      <c r="H69" s="65" t="n"/>
      <c r="I69" s="65" t="n"/>
      <c r="J69" s="65" t="n"/>
      <c r="K69" s="65" t="n"/>
      <c r="L69" s="66" t="n"/>
      <c r="M69" s="65">
        <f>IF(L69="","",INT((L69-Config!$B$9+WEEKDAY(Config!$B$9,2)-1)/7)+1)</f>
        <v/>
      </c>
      <c r="N69" s="66">
        <f>IF(L69="","",L69-2)</f>
        <v/>
      </c>
      <c r="O69" s="65" t="n"/>
      <c r="P69" s="65" t="n"/>
      <c r="Q69" s="65" t="n"/>
    </row>
    <row r="70">
      <c r="A70" s="65" t="n"/>
      <c r="B70" s="65" t="n"/>
      <c r="C70" s="65" t="n"/>
      <c r="D70" s="65" t="n"/>
      <c r="E70" s="65" t="n"/>
      <c r="F70" s="65" t="n"/>
      <c r="G70" s="65" t="n"/>
      <c r="H70" s="65" t="n"/>
      <c r="I70" s="65" t="n"/>
      <c r="J70" s="65" t="n"/>
      <c r="K70" s="65" t="n"/>
      <c r="L70" s="66" t="n"/>
      <c r="M70" s="65">
        <f>IF(L70="","",INT((L70-Config!$B$9+WEEKDAY(Config!$B$9,2)-1)/7)+1)</f>
        <v/>
      </c>
      <c r="N70" s="66">
        <f>IF(L70="","",L70-2)</f>
        <v/>
      </c>
      <c r="O70" s="65" t="n"/>
      <c r="P70" s="65" t="n"/>
      <c r="Q70" s="65" t="n"/>
    </row>
    <row r="71">
      <c r="A71" s="65" t="n"/>
      <c r="B71" s="65" t="n"/>
      <c r="C71" s="65" t="n"/>
      <c r="D71" s="65" t="n"/>
      <c r="E71" s="65" t="n"/>
      <c r="F71" s="65" t="n"/>
      <c r="G71" s="65" t="n"/>
      <c r="H71" s="65" t="n"/>
      <c r="I71" s="65" t="n"/>
      <c r="J71" s="65" t="n"/>
      <c r="K71" s="65" t="n"/>
      <c r="L71" s="66" t="n"/>
      <c r="M71" s="65">
        <f>IF(L71="","",INT((L71-Config!$B$9+WEEKDAY(Config!$B$9,2)-1)/7)+1)</f>
        <v/>
      </c>
      <c r="N71" s="66">
        <f>IF(L71="","",L71-2)</f>
        <v/>
      </c>
      <c r="O71" s="65" t="n"/>
      <c r="P71" s="65" t="n"/>
      <c r="Q71" s="65" t="n"/>
    </row>
    <row r="72">
      <c r="A72" s="65" t="n"/>
      <c r="B72" s="65" t="n"/>
      <c r="C72" s="65" t="n"/>
      <c r="D72" s="65" t="n"/>
      <c r="E72" s="65" t="n"/>
      <c r="F72" s="65" t="n"/>
      <c r="G72" s="65" t="n"/>
      <c r="H72" s="65" t="n"/>
      <c r="I72" s="65" t="n"/>
      <c r="J72" s="65" t="n"/>
      <c r="K72" s="65" t="n"/>
      <c r="L72" s="66" t="n"/>
      <c r="M72" s="65">
        <f>IF(L72="","",INT((L72-Config!$B$9+WEEKDAY(Config!$B$9,2)-1)/7)+1)</f>
        <v/>
      </c>
      <c r="N72" s="66">
        <f>IF(L72="","",L72-2)</f>
        <v/>
      </c>
      <c r="O72" s="65" t="n"/>
      <c r="P72" s="65" t="n"/>
      <c r="Q72" s="65" t="n"/>
    </row>
    <row r="73">
      <c r="A73" s="65" t="n"/>
      <c r="B73" s="65" t="n"/>
      <c r="C73" s="65" t="n"/>
      <c r="D73" s="65" t="n"/>
      <c r="E73" s="65" t="n"/>
      <c r="F73" s="65" t="n"/>
      <c r="G73" s="65" t="n"/>
      <c r="H73" s="65" t="n"/>
      <c r="I73" s="65" t="n"/>
      <c r="J73" s="65" t="n"/>
      <c r="K73" s="65" t="n"/>
      <c r="L73" s="66" t="n"/>
      <c r="M73" s="65">
        <f>IF(L73="","",INT((L73-Config!$B$9+WEEKDAY(Config!$B$9,2)-1)/7)+1)</f>
        <v/>
      </c>
      <c r="N73" s="66">
        <f>IF(L73="","",L73-2)</f>
        <v/>
      </c>
      <c r="O73" s="65" t="n"/>
      <c r="P73" s="65" t="n"/>
      <c r="Q73" s="65" t="n"/>
    </row>
    <row r="74">
      <c r="A74" s="65" t="n"/>
      <c r="B74" s="65" t="n"/>
      <c r="C74" s="65" t="n"/>
      <c r="D74" s="65" t="n"/>
      <c r="E74" s="65" t="n"/>
      <c r="F74" s="65" t="n"/>
      <c r="G74" s="65" t="n"/>
      <c r="H74" s="65" t="n"/>
      <c r="I74" s="65" t="n"/>
      <c r="J74" s="65" t="n"/>
      <c r="K74" s="65" t="n"/>
      <c r="L74" s="66" t="n"/>
      <c r="M74" s="65">
        <f>IF(L74="","",INT((L74-Config!$B$9+WEEKDAY(Config!$B$9,2)-1)/7)+1)</f>
        <v/>
      </c>
      <c r="N74" s="66">
        <f>IF(L74="","",L74-2)</f>
        <v/>
      </c>
      <c r="O74" s="65" t="n"/>
      <c r="P74" s="65" t="n"/>
      <c r="Q74" s="65" t="n"/>
    </row>
    <row r="75">
      <c r="A75" s="65" t="n"/>
      <c r="B75" s="65" t="n"/>
      <c r="C75" s="65" t="n"/>
      <c r="D75" s="65" t="n"/>
      <c r="E75" s="65" t="n"/>
      <c r="F75" s="65" t="n"/>
      <c r="G75" s="65" t="n"/>
      <c r="H75" s="65" t="n"/>
      <c r="I75" s="65" t="n"/>
      <c r="J75" s="65" t="n"/>
      <c r="K75" s="65" t="n"/>
      <c r="L75" s="66" t="n"/>
      <c r="M75" s="65">
        <f>IF(L75="","",INT((L75-Config!$B$9+WEEKDAY(Config!$B$9,2)-1)/7)+1)</f>
        <v/>
      </c>
      <c r="N75" s="66">
        <f>IF(L75="","",L75-2)</f>
        <v/>
      </c>
      <c r="O75" s="65" t="n"/>
      <c r="P75" s="65" t="n"/>
      <c r="Q75" s="65" t="n"/>
    </row>
    <row r="76">
      <c r="A76" s="65" t="n"/>
      <c r="B76" s="65" t="n"/>
      <c r="C76" s="65" t="n"/>
      <c r="D76" s="65" t="n"/>
      <c r="E76" s="65" t="n"/>
      <c r="F76" s="65" t="n"/>
      <c r="G76" s="65" t="n"/>
      <c r="H76" s="65" t="n"/>
      <c r="I76" s="65" t="n"/>
      <c r="J76" s="65" t="n"/>
      <c r="K76" s="65" t="n"/>
      <c r="L76" s="66" t="n"/>
      <c r="M76" s="65">
        <f>IF(L76="","",INT((L76-Config!$B$9+WEEKDAY(Config!$B$9,2)-1)/7)+1)</f>
        <v/>
      </c>
      <c r="N76" s="66">
        <f>IF(L76="","",L76-2)</f>
        <v/>
      </c>
      <c r="O76" s="65" t="n"/>
      <c r="P76" s="65" t="n"/>
      <c r="Q76" s="65" t="n"/>
    </row>
    <row r="77">
      <c r="A77" s="65" t="n"/>
      <c r="B77" s="65" t="n"/>
      <c r="C77" s="65" t="n"/>
      <c r="D77" s="65" t="n"/>
      <c r="E77" s="65" t="n"/>
      <c r="F77" s="65" t="n"/>
      <c r="G77" s="65" t="n"/>
      <c r="H77" s="65" t="n"/>
      <c r="I77" s="65" t="n"/>
      <c r="J77" s="65" t="n"/>
      <c r="K77" s="65" t="n"/>
      <c r="L77" s="66" t="n"/>
      <c r="M77" s="65">
        <f>IF(L77="","",INT((L77-Config!$B$9+WEEKDAY(Config!$B$9,2)-1)/7)+1)</f>
        <v/>
      </c>
      <c r="N77" s="66">
        <f>IF(L77="","",L77-2)</f>
        <v/>
      </c>
      <c r="O77" s="65" t="n"/>
      <c r="P77" s="65" t="n"/>
      <c r="Q77" s="65" t="n"/>
    </row>
    <row r="78">
      <c r="A78" s="65" t="n"/>
      <c r="B78" s="65" t="n"/>
      <c r="C78" s="65" t="n"/>
      <c r="D78" s="65" t="n"/>
      <c r="E78" s="65" t="n"/>
      <c r="F78" s="65" t="n"/>
      <c r="G78" s="65" t="n"/>
      <c r="H78" s="65" t="n"/>
      <c r="I78" s="65" t="n"/>
      <c r="J78" s="65" t="n"/>
      <c r="K78" s="65" t="n"/>
      <c r="L78" s="66" t="n"/>
      <c r="M78" s="65">
        <f>IF(L78="","",INT((L78-Config!$B$9+WEEKDAY(Config!$B$9,2)-1)/7)+1)</f>
        <v/>
      </c>
      <c r="N78" s="66">
        <f>IF(L78="","",L78-2)</f>
        <v/>
      </c>
      <c r="O78" s="65" t="n"/>
      <c r="P78" s="65" t="n"/>
      <c r="Q78" s="65" t="n"/>
    </row>
    <row r="79">
      <c r="A79" s="65" t="n"/>
      <c r="B79" s="65" t="n"/>
      <c r="C79" s="65" t="n"/>
      <c r="D79" s="65" t="n"/>
      <c r="E79" s="65" t="n"/>
      <c r="F79" s="65" t="n"/>
      <c r="G79" s="65" t="n"/>
      <c r="H79" s="65" t="n"/>
      <c r="I79" s="65" t="n"/>
      <c r="J79" s="65" t="n"/>
      <c r="K79" s="65" t="n"/>
      <c r="L79" s="66" t="n"/>
      <c r="M79" s="65">
        <f>IF(L79="","",INT((L79-Config!$B$9+WEEKDAY(Config!$B$9,2)-1)/7)+1)</f>
        <v/>
      </c>
      <c r="N79" s="66">
        <f>IF(L79="","",L79-2)</f>
        <v/>
      </c>
      <c r="O79" s="65" t="n"/>
      <c r="P79" s="65" t="n"/>
      <c r="Q79" s="65" t="n"/>
    </row>
    <row r="80">
      <c r="A80" s="65" t="n"/>
      <c r="B80" s="65" t="n"/>
      <c r="C80" s="65" t="n"/>
      <c r="D80" s="65" t="n"/>
      <c r="E80" s="65" t="n"/>
      <c r="F80" s="65" t="n"/>
      <c r="G80" s="65" t="n"/>
      <c r="H80" s="65" t="n"/>
      <c r="I80" s="65" t="n"/>
      <c r="J80" s="65" t="n"/>
      <c r="K80" s="65" t="n"/>
      <c r="L80" s="66" t="n"/>
      <c r="M80" s="65">
        <f>IF(L80="","",INT((L80-Config!$B$9+WEEKDAY(Config!$B$9,2)-1)/7)+1)</f>
        <v/>
      </c>
      <c r="N80" s="66">
        <f>IF(L80="","",L80-2)</f>
        <v/>
      </c>
      <c r="O80" s="65" t="n"/>
      <c r="P80" s="65" t="n"/>
      <c r="Q80" s="65" t="n"/>
    </row>
    <row r="81">
      <c r="A81" s="65" t="n"/>
      <c r="B81" s="65" t="n"/>
      <c r="C81" s="65" t="n"/>
      <c r="D81" s="65" t="n"/>
      <c r="E81" s="65" t="n"/>
      <c r="F81" s="65" t="n"/>
      <c r="G81" s="65" t="n"/>
      <c r="H81" s="65" t="n"/>
      <c r="I81" s="65" t="n"/>
      <c r="J81" s="65" t="n"/>
      <c r="K81" s="65" t="n"/>
      <c r="L81" s="66" t="n"/>
      <c r="M81" s="65">
        <f>IF(L81="","",INT((L81-Config!$B$9+WEEKDAY(Config!$B$9,2)-1)/7)+1)</f>
        <v/>
      </c>
      <c r="N81" s="66">
        <f>IF(L81="","",L81-2)</f>
        <v/>
      </c>
      <c r="O81" s="65" t="n"/>
      <c r="P81" s="65" t="n"/>
      <c r="Q81" s="65" t="n"/>
    </row>
    <row r="82">
      <c r="A82" s="65" t="n"/>
      <c r="B82" s="65" t="n"/>
      <c r="C82" s="65" t="n"/>
      <c r="D82" s="65" t="n"/>
      <c r="E82" s="65" t="n"/>
      <c r="F82" s="65" t="n"/>
      <c r="G82" s="65" t="n"/>
      <c r="H82" s="65" t="n"/>
      <c r="I82" s="65" t="n"/>
      <c r="J82" s="65" t="n"/>
      <c r="K82" s="65" t="n"/>
      <c r="L82" s="66" t="n"/>
      <c r="M82" s="65">
        <f>IF(L82="","",INT((L82-Config!$B$9+WEEKDAY(Config!$B$9,2)-1)/7)+1)</f>
        <v/>
      </c>
      <c r="N82" s="66">
        <f>IF(L82="","",L82-2)</f>
        <v/>
      </c>
      <c r="O82" s="65" t="n"/>
      <c r="P82" s="65" t="n"/>
      <c r="Q82" s="65" t="n"/>
    </row>
    <row r="83">
      <c r="A83" s="65" t="n"/>
      <c r="B83" s="65" t="n"/>
      <c r="C83" s="65" t="n"/>
      <c r="D83" s="65" t="n"/>
      <c r="E83" s="65" t="n"/>
      <c r="F83" s="65" t="n"/>
      <c r="G83" s="65" t="n"/>
      <c r="H83" s="65" t="n"/>
      <c r="I83" s="65" t="n"/>
      <c r="J83" s="65" t="n"/>
      <c r="K83" s="65" t="n"/>
      <c r="L83" s="66" t="n"/>
      <c r="M83" s="65">
        <f>IF(L83="","",INT((L83-Config!$B$9+WEEKDAY(Config!$B$9,2)-1)/7)+1)</f>
        <v/>
      </c>
      <c r="N83" s="66">
        <f>IF(L83="","",L83-2)</f>
        <v/>
      </c>
      <c r="O83" s="65" t="n"/>
      <c r="P83" s="65" t="n"/>
      <c r="Q83" s="65" t="n"/>
    </row>
    <row r="84">
      <c r="A84" s="65" t="n"/>
      <c r="B84" s="65" t="n"/>
      <c r="C84" s="65" t="n"/>
      <c r="D84" s="65" t="n"/>
      <c r="E84" s="65" t="n"/>
      <c r="F84" s="65" t="n"/>
      <c r="G84" s="65" t="n"/>
      <c r="H84" s="65" t="n"/>
      <c r="I84" s="65" t="n"/>
      <c r="J84" s="65" t="n"/>
      <c r="K84" s="65" t="n"/>
      <c r="L84" s="66" t="n"/>
      <c r="M84" s="65">
        <f>IF(L84="","",INT((L84-Config!$B$9+WEEKDAY(Config!$B$9,2)-1)/7)+1)</f>
        <v/>
      </c>
      <c r="N84" s="66">
        <f>IF(L84="","",L84-2)</f>
        <v/>
      </c>
      <c r="O84" s="65" t="n"/>
      <c r="P84" s="65" t="n"/>
      <c r="Q84" s="65" t="n"/>
    </row>
    <row r="85">
      <c r="A85" s="65" t="n"/>
      <c r="B85" s="65" t="n"/>
      <c r="C85" s="65" t="n"/>
      <c r="D85" s="65" t="n"/>
      <c r="E85" s="65" t="n"/>
      <c r="F85" s="65" t="n"/>
      <c r="G85" s="65" t="n"/>
      <c r="H85" s="65" t="n"/>
      <c r="I85" s="65" t="n"/>
      <c r="J85" s="65" t="n"/>
      <c r="K85" s="65" t="n"/>
      <c r="L85" s="66" t="n"/>
      <c r="M85" s="65">
        <f>IF(L85="","",INT((L85-Config!$B$9+WEEKDAY(Config!$B$9,2)-1)/7)+1)</f>
        <v/>
      </c>
      <c r="N85" s="66">
        <f>IF(L85="","",L85-2)</f>
        <v/>
      </c>
      <c r="O85" s="65" t="n"/>
      <c r="P85" s="65" t="n"/>
      <c r="Q85" s="65" t="n"/>
    </row>
    <row r="86">
      <c r="A86" s="65" t="n"/>
      <c r="B86" s="65" t="n"/>
      <c r="C86" s="65" t="n"/>
      <c r="D86" s="65" t="n"/>
      <c r="E86" s="65" t="n"/>
      <c r="F86" s="65" t="n"/>
      <c r="G86" s="65" t="n"/>
      <c r="H86" s="65" t="n"/>
      <c r="I86" s="65" t="n"/>
      <c r="J86" s="65" t="n"/>
      <c r="K86" s="65" t="n"/>
      <c r="L86" s="66" t="n"/>
      <c r="M86" s="65">
        <f>IF(L86="","",INT((L86-Config!$B$9+WEEKDAY(Config!$B$9,2)-1)/7)+1)</f>
        <v/>
      </c>
      <c r="N86" s="66">
        <f>IF(L86="","",L86-2)</f>
        <v/>
      </c>
      <c r="O86" s="65" t="n"/>
      <c r="P86" s="65" t="n"/>
      <c r="Q86" s="65" t="n"/>
    </row>
    <row r="87">
      <c r="A87" s="65" t="n"/>
      <c r="B87" s="65" t="n"/>
      <c r="C87" s="65" t="n"/>
      <c r="D87" s="65" t="n"/>
      <c r="E87" s="65" t="n"/>
      <c r="F87" s="65" t="n"/>
      <c r="G87" s="65" t="n"/>
      <c r="H87" s="65" t="n"/>
      <c r="I87" s="65" t="n"/>
      <c r="J87" s="65" t="n"/>
      <c r="K87" s="65" t="n"/>
      <c r="L87" s="66" t="n"/>
      <c r="M87" s="65">
        <f>IF(L87="","",INT((L87-Config!$B$9+WEEKDAY(Config!$B$9,2)-1)/7)+1)</f>
        <v/>
      </c>
      <c r="N87" s="66">
        <f>IF(L87="","",L87-2)</f>
        <v/>
      </c>
      <c r="O87" s="65" t="n"/>
      <c r="P87" s="65" t="n"/>
      <c r="Q87" s="65" t="n"/>
    </row>
    <row r="88">
      <c r="A88" s="65" t="n"/>
      <c r="B88" s="65" t="n"/>
      <c r="C88" s="65" t="n"/>
      <c r="D88" s="65" t="n"/>
      <c r="E88" s="65" t="n"/>
      <c r="F88" s="65" t="n"/>
      <c r="G88" s="65" t="n"/>
      <c r="H88" s="65" t="n"/>
      <c r="I88" s="65" t="n"/>
      <c r="J88" s="65" t="n"/>
      <c r="K88" s="65" t="n"/>
      <c r="L88" s="66" t="n"/>
      <c r="M88" s="65">
        <f>IF(L88="","",INT((L88-Config!$B$9+WEEKDAY(Config!$B$9,2)-1)/7)+1)</f>
        <v/>
      </c>
      <c r="N88" s="66">
        <f>IF(L88="","",L88-2)</f>
        <v/>
      </c>
      <c r="O88" s="65" t="n"/>
      <c r="P88" s="65" t="n"/>
      <c r="Q88" s="65" t="n"/>
    </row>
    <row r="89">
      <c r="A89" s="65" t="n"/>
      <c r="B89" s="65" t="n"/>
      <c r="C89" s="65" t="n"/>
      <c r="D89" s="65" t="n"/>
      <c r="E89" s="65" t="n"/>
      <c r="F89" s="65" t="n"/>
      <c r="G89" s="65" t="n"/>
      <c r="H89" s="65" t="n"/>
      <c r="I89" s="65" t="n"/>
      <c r="J89" s="65" t="n"/>
      <c r="K89" s="65" t="n"/>
      <c r="L89" s="66" t="n"/>
      <c r="M89" s="65">
        <f>IF(L89="","",INT((L89-Config!$B$9+WEEKDAY(Config!$B$9,2)-1)/7)+1)</f>
        <v/>
      </c>
      <c r="N89" s="66">
        <f>IF(L89="","",L89-2)</f>
        <v/>
      </c>
      <c r="O89" s="65" t="n"/>
      <c r="P89" s="65" t="n"/>
      <c r="Q89" s="65" t="n"/>
    </row>
    <row r="90">
      <c r="A90" s="65" t="n"/>
      <c r="B90" s="65" t="n"/>
      <c r="C90" s="65" t="n"/>
      <c r="D90" s="65" t="n"/>
      <c r="E90" s="65" t="n"/>
      <c r="F90" s="65" t="n"/>
      <c r="G90" s="65" t="n"/>
      <c r="H90" s="65" t="n"/>
      <c r="I90" s="65" t="n"/>
      <c r="J90" s="65" t="n"/>
      <c r="K90" s="65" t="n"/>
      <c r="L90" s="66" t="n"/>
      <c r="M90" s="65">
        <f>IF(L90="","",INT((L90-Config!$B$9+WEEKDAY(Config!$B$9,2)-1)/7)+1)</f>
        <v/>
      </c>
      <c r="N90" s="66">
        <f>IF(L90="","",L90-2)</f>
        <v/>
      </c>
      <c r="O90" s="65" t="n"/>
      <c r="P90" s="65" t="n"/>
      <c r="Q90" s="65" t="n"/>
    </row>
    <row r="91">
      <c r="A91" s="65" t="n"/>
      <c r="B91" s="65" t="n"/>
      <c r="C91" s="65" t="n"/>
      <c r="D91" s="65" t="n"/>
      <c r="E91" s="65" t="n"/>
      <c r="F91" s="65" t="n"/>
      <c r="G91" s="65" t="n"/>
      <c r="H91" s="65" t="n"/>
      <c r="I91" s="65" t="n"/>
      <c r="J91" s="65" t="n"/>
      <c r="K91" s="65" t="n"/>
      <c r="L91" s="66" t="n"/>
      <c r="M91" s="65">
        <f>IF(L91="","",INT((L91-Config!$B$9+WEEKDAY(Config!$B$9,2)-1)/7)+1)</f>
        <v/>
      </c>
      <c r="N91" s="66">
        <f>IF(L91="","",L91-2)</f>
        <v/>
      </c>
      <c r="O91" s="65" t="n"/>
      <c r="P91" s="65" t="n"/>
      <c r="Q91" s="65" t="n"/>
    </row>
    <row r="92">
      <c r="A92" s="65" t="n"/>
      <c r="B92" s="65" t="n"/>
      <c r="C92" s="65" t="n"/>
      <c r="D92" s="65" t="n"/>
      <c r="E92" s="65" t="n"/>
      <c r="F92" s="65" t="n"/>
      <c r="G92" s="65" t="n"/>
      <c r="H92" s="65" t="n"/>
      <c r="I92" s="65" t="n"/>
      <c r="J92" s="65" t="n"/>
      <c r="K92" s="65" t="n"/>
      <c r="L92" s="66" t="n"/>
      <c r="M92" s="65">
        <f>IF(L92="","",INT((L92-Config!$B$9+WEEKDAY(Config!$B$9,2)-1)/7)+1)</f>
        <v/>
      </c>
      <c r="N92" s="66">
        <f>IF(L92="","",L92-2)</f>
        <v/>
      </c>
      <c r="O92" s="65" t="n"/>
      <c r="P92" s="65" t="n"/>
      <c r="Q92" s="65" t="n"/>
    </row>
    <row r="93">
      <c r="A93" s="65" t="n"/>
      <c r="B93" s="65" t="n"/>
      <c r="C93" s="65" t="n"/>
      <c r="D93" s="65" t="n"/>
      <c r="E93" s="65" t="n"/>
      <c r="F93" s="65" t="n"/>
      <c r="G93" s="65" t="n"/>
      <c r="H93" s="65" t="n"/>
      <c r="I93" s="65" t="n"/>
      <c r="J93" s="65" t="n"/>
      <c r="K93" s="65" t="n"/>
      <c r="L93" s="66" t="n"/>
      <c r="M93" s="65">
        <f>IF(L93="","",INT((L93-Config!$B$9+WEEKDAY(Config!$B$9,2)-1)/7)+1)</f>
        <v/>
      </c>
      <c r="N93" s="66">
        <f>IF(L93="","",L93-2)</f>
        <v/>
      </c>
      <c r="O93" s="65" t="n"/>
      <c r="P93" s="65" t="n"/>
      <c r="Q93" s="65" t="n"/>
    </row>
    <row r="94">
      <c r="A94" s="65" t="n"/>
      <c r="B94" s="65" t="n"/>
      <c r="C94" s="65" t="n"/>
      <c r="D94" s="65" t="n"/>
      <c r="E94" s="65" t="n"/>
      <c r="F94" s="65" t="n"/>
      <c r="G94" s="65" t="n"/>
      <c r="H94" s="65" t="n"/>
      <c r="I94" s="65" t="n"/>
      <c r="J94" s="65" t="n"/>
      <c r="K94" s="65" t="n"/>
      <c r="L94" s="66" t="n"/>
      <c r="M94" s="65">
        <f>IF(L94="","",INT((L94-Config!$B$9+WEEKDAY(Config!$B$9,2)-1)/7)+1)</f>
        <v/>
      </c>
      <c r="N94" s="66">
        <f>IF(L94="","",L94-2)</f>
        <v/>
      </c>
      <c r="O94" s="65" t="n"/>
      <c r="P94" s="65" t="n"/>
      <c r="Q94" s="65" t="n"/>
    </row>
    <row r="95">
      <c r="A95" s="65" t="n"/>
      <c r="B95" s="65" t="n"/>
      <c r="C95" s="65" t="n"/>
      <c r="D95" s="65" t="n"/>
      <c r="E95" s="65" t="n"/>
      <c r="F95" s="65" t="n"/>
      <c r="G95" s="65" t="n"/>
      <c r="H95" s="65" t="n"/>
      <c r="I95" s="65" t="n"/>
      <c r="J95" s="65" t="n"/>
      <c r="K95" s="65" t="n"/>
      <c r="L95" s="66" t="n"/>
      <c r="M95" s="65">
        <f>IF(L95="","",INT((L95-Config!$B$9+WEEKDAY(Config!$B$9,2)-1)/7)+1)</f>
        <v/>
      </c>
      <c r="N95" s="66">
        <f>IF(L95="","",L95-2)</f>
        <v/>
      </c>
      <c r="O95" s="65" t="n"/>
      <c r="P95" s="65" t="n"/>
      <c r="Q95" s="65" t="n"/>
    </row>
    <row r="96">
      <c r="A96" s="65" t="n"/>
      <c r="B96" s="65" t="n"/>
      <c r="C96" s="65" t="n"/>
      <c r="D96" s="65" t="n"/>
      <c r="E96" s="65" t="n"/>
      <c r="F96" s="65" t="n"/>
      <c r="G96" s="65" t="n"/>
      <c r="H96" s="65" t="n"/>
      <c r="I96" s="65" t="n"/>
      <c r="J96" s="65" t="n"/>
      <c r="K96" s="65" t="n"/>
      <c r="L96" s="66" t="n"/>
      <c r="M96" s="65">
        <f>IF(L96="","",INT((L96-Config!$B$9+WEEKDAY(Config!$B$9,2)-1)/7)+1)</f>
        <v/>
      </c>
      <c r="N96" s="66">
        <f>IF(L96="","",L96-2)</f>
        <v/>
      </c>
      <c r="O96" s="65" t="n"/>
      <c r="P96" s="65" t="n"/>
      <c r="Q96" s="65" t="n"/>
    </row>
    <row r="97">
      <c r="A97" s="65" t="n"/>
      <c r="B97" s="65" t="n"/>
      <c r="C97" s="65" t="n"/>
      <c r="D97" s="65" t="n"/>
      <c r="E97" s="65" t="n"/>
      <c r="F97" s="65" t="n"/>
      <c r="G97" s="65" t="n"/>
      <c r="H97" s="65" t="n"/>
      <c r="I97" s="65" t="n"/>
      <c r="J97" s="65" t="n"/>
      <c r="K97" s="65" t="n"/>
      <c r="L97" s="66" t="n"/>
      <c r="M97" s="65">
        <f>IF(L97="","",INT((L97-Config!$B$9+WEEKDAY(Config!$B$9,2)-1)/7)+1)</f>
        <v/>
      </c>
      <c r="N97" s="66">
        <f>IF(L97="","",L97-2)</f>
        <v/>
      </c>
      <c r="O97" s="65" t="n"/>
      <c r="P97" s="65" t="n"/>
      <c r="Q97" s="65" t="n"/>
    </row>
    <row r="98">
      <c r="A98" s="65" t="n"/>
      <c r="B98" s="65" t="n"/>
      <c r="C98" s="65" t="n"/>
      <c r="D98" s="65" t="n"/>
      <c r="E98" s="65" t="n"/>
      <c r="F98" s="65" t="n"/>
      <c r="G98" s="65" t="n"/>
      <c r="H98" s="65" t="n"/>
      <c r="I98" s="65" t="n"/>
      <c r="J98" s="65" t="n"/>
      <c r="K98" s="65" t="n"/>
      <c r="L98" s="66" t="n"/>
      <c r="M98" s="65">
        <f>IF(L98="","",INT((L98-Config!$B$9+WEEKDAY(Config!$B$9,2)-1)/7)+1)</f>
        <v/>
      </c>
      <c r="N98" s="66">
        <f>IF(L98="","",L98-2)</f>
        <v/>
      </c>
      <c r="O98" s="65" t="n"/>
      <c r="P98" s="65" t="n"/>
      <c r="Q98" s="65" t="n"/>
    </row>
    <row r="99">
      <c r="A99" s="65" t="n"/>
      <c r="B99" s="65" t="n"/>
      <c r="C99" s="65" t="n"/>
      <c r="D99" s="65" t="n"/>
      <c r="E99" s="65" t="n"/>
      <c r="F99" s="65" t="n"/>
      <c r="G99" s="65" t="n"/>
      <c r="H99" s="65" t="n"/>
      <c r="I99" s="65" t="n"/>
      <c r="J99" s="65" t="n"/>
      <c r="K99" s="65" t="n"/>
      <c r="L99" s="66" t="n"/>
      <c r="M99" s="65">
        <f>IF(L99="","",INT((L99-Config!$B$9+WEEKDAY(Config!$B$9,2)-1)/7)+1)</f>
        <v/>
      </c>
      <c r="N99" s="66">
        <f>IF(L99="","",L99-2)</f>
        <v/>
      </c>
      <c r="O99" s="65" t="n"/>
      <c r="P99" s="65" t="n"/>
      <c r="Q99" s="65" t="n"/>
    </row>
    <row r="100">
      <c r="A100" s="65" t="n"/>
      <c r="B100" s="65" t="n"/>
      <c r="C100" s="65" t="n"/>
      <c r="D100" s="65" t="n"/>
      <c r="E100" s="65" t="n"/>
      <c r="F100" s="65" t="n"/>
      <c r="G100" s="65" t="n"/>
      <c r="H100" s="65" t="n"/>
      <c r="I100" s="65" t="n"/>
      <c r="J100" s="65" t="n"/>
      <c r="K100" s="65" t="n"/>
      <c r="L100" s="66" t="n"/>
      <c r="M100" s="65">
        <f>IF(L100="","",INT((L100-Config!$B$9+WEEKDAY(Config!$B$9,2)-1)/7)+1)</f>
        <v/>
      </c>
      <c r="N100" s="66">
        <f>IF(L100="","",L100-2)</f>
        <v/>
      </c>
      <c r="O100" s="65" t="n"/>
      <c r="P100" s="65" t="n"/>
      <c r="Q100" s="65" t="n"/>
    </row>
    <row r="101">
      <c r="A101" s="65" t="n"/>
      <c r="B101" s="65" t="n"/>
      <c r="C101" s="65" t="n"/>
      <c r="D101" s="65" t="n"/>
      <c r="E101" s="65" t="n"/>
      <c r="F101" s="65" t="n"/>
      <c r="G101" s="65" t="n"/>
      <c r="H101" s="65" t="n"/>
      <c r="I101" s="65" t="n"/>
      <c r="J101" s="65" t="n"/>
      <c r="K101" s="65" t="n"/>
      <c r="L101" s="66" t="n"/>
      <c r="M101" s="65">
        <f>IF(L101="","",INT((L101-Config!$B$9+WEEKDAY(Config!$B$9,2)-1)/7)+1)</f>
        <v/>
      </c>
      <c r="N101" s="66">
        <f>IF(L101="","",L101-2)</f>
        <v/>
      </c>
      <c r="O101" s="65" t="n"/>
      <c r="P101" s="65" t="n"/>
      <c r="Q101" s="65" t="n"/>
    </row>
    <row r="102">
      <c r="A102" s="65" t="n"/>
      <c r="B102" s="65" t="n"/>
      <c r="C102" s="65" t="n"/>
      <c r="D102" s="65" t="n"/>
      <c r="E102" s="65" t="n"/>
      <c r="F102" s="65" t="n"/>
      <c r="G102" s="65" t="n"/>
      <c r="H102" s="65" t="n"/>
      <c r="I102" s="65" t="n"/>
      <c r="J102" s="65" t="n"/>
      <c r="K102" s="65" t="n"/>
      <c r="L102" s="66" t="n"/>
      <c r="M102" s="65">
        <f>IF(L102="","",INT((L102-Config!$B$9+WEEKDAY(Config!$B$9,2)-1)/7)+1)</f>
        <v/>
      </c>
      <c r="N102" s="66">
        <f>IF(L102="","",L102-2)</f>
        <v/>
      </c>
      <c r="O102" s="65" t="n"/>
      <c r="P102" s="65" t="n"/>
      <c r="Q102" s="65" t="n"/>
    </row>
    <row r="103">
      <c r="A103" s="65" t="n"/>
      <c r="B103" s="65" t="n"/>
      <c r="C103" s="65" t="n"/>
      <c r="D103" s="65" t="n"/>
      <c r="E103" s="65" t="n"/>
      <c r="F103" s="65" t="n"/>
      <c r="G103" s="65" t="n"/>
      <c r="H103" s="65" t="n"/>
      <c r="I103" s="65" t="n"/>
      <c r="J103" s="65" t="n"/>
      <c r="K103" s="65" t="n"/>
      <c r="L103" s="66" t="n"/>
      <c r="M103" s="65">
        <f>IF(L103="","",INT((L103-Config!$B$9+WEEKDAY(Config!$B$9,2)-1)/7)+1)</f>
        <v/>
      </c>
      <c r="N103" s="66">
        <f>IF(L103="","",L103-2)</f>
        <v/>
      </c>
      <c r="O103" s="65" t="n"/>
      <c r="P103" s="65" t="n"/>
      <c r="Q103" s="65" t="n"/>
    </row>
    <row r="104">
      <c r="A104" s="65" t="n"/>
      <c r="B104" s="65" t="n"/>
      <c r="C104" s="65" t="n"/>
      <c r="D104" s="65" t="n"/>
      <c r="E104" s="65" t="n"/>
      <c r="F104" s="65" t="n"/>
      <c r="G104" s="65" t="n"/>
      <c r="H104" s="65" t="n"/>
      <c r="I104" s="65" t="n"/>
      <c r="J104" s="65" t="n"/>
      <c r="K104" s="65" t="n"/>
      <c r="L104" s="66" t="n"/>
      <c r="M104" s="65">
        <f>IF(L104="","",INT((L104-Config!$B$9+WEEKDAY(Config!$B$9,2)-1)/7)+1)</f>
        <v/>
      </c>
      <c r="N104" s="66">
        <f>IF(L104="","",L104-2)</f>
        <v/>
      </c>
      <c r="O104" s="65" t="n"/>
      <c r="P104" s="65" t="n"/>
      <c r="Q104" s="65" t="n"/>
    </row>
  </sheetData>
  <mergeCells count="2">
    <mergeCell ref="A2:Q2"/>
    <mergeCell ref="A1:Q1"/>
  </mergeCells>
  <conditionalFormatting sqref="P5:P104">
    <cfRule type="cellIs" priority="1" operator="equal" dxfId="6">
      <formula>"Published"</formula>
    </cfRule>
    <cfRule type="cellIs" priority="2" operator="equal" dxfId="7">
      <formula>"Draft"</formula>
    </cfRule>
    <cfRule type="cellIs" priority="3" operator="equal" dxfId="8">
      <formula>"Approved"</formula>
    </cfRule>
    <cfRule type="cellIs" priority="4" operator="equal" dxfId="9">
      <formula>"Review"</formula>
    </cfRule>
  </conditionalFormatting>
  <dataValidations count="5">
    <dataValidation sqref="C5:C104" showDropDown="0" showInputMessage="0" showErrorMessage="0" allowBlank="1" type="list">
      <formula1>"Hero,Hub,Hygiene"</formula1>
    </dataValidation>
    <dataValidation sqref="K5:K104" showDropDown="0" showInputMessage="0" showErrorMessage="0" allowBlank="1" type="list">
      <formula1>"Facebook,Zalo OA,Website,TikTok,Email"</formula1>
    </dataValidation>
    <dataValidation sqref="P5:P104" showDropDown="0" showInputMessage="0" showErrorMessage="0" allowBlank="1" type="list">
      <formula1>"Draft,Review,Approved,Published"</formula1>
    </dataValidation>
    <dataValidation sqref="D5:D104" showDropDown="0" showInputMessage="0" showErrorMessage="0" allowBlank="1" type="list">
      <formula1>"TOFU,MOFU,BOFU"</formula1>
    </dataValidation>
    <dataValidation sqref="L5:L104" showDropDown="0" showInputMessage="1" showErrorMessage="1" allowBlank="1" errorTitle="Ngày không hợp lệ" error="Vui lòng nhập một ngày hợp lệ theo định dạng dd/mm/yyyy (ví dụ 25/12/2026)." promptTitle="Nhập Ngày đăng" prompt="Nhập theo định dạng dd/mm/yyyy (ví dụ 25/12/2026). Ô đã đặt sẵn number format dd/mm/yyyy." type="date" operator="between">
      <formula1>DATE(2000,1,1)</formula1>
      <formula2>DATE(2100,12,31)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2026-08-25T12:55:38Z</dcterms:created>
  <dcterms:modified xmlns:dcterms="http://purl.org/dc/terms/" xmlns:xsi="http://www.w3.org/2001/XMLSchema-instance" xsi:type="dcterms:W3CDTF">2026-08-25T12:55:39Z</dcterms:modified>
</cp:coreProperties>
</file>
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Dashboard Can Bang" sheetId="3" state="visible" r:id="rId3"/>
    <sheet xmlns:r="http://schemas.openxmlformats.org/officeDocument/2006/relationships" name="Pillar 1 - An toan TP" sheetId="4" state="visible" r:id="rId4"/>
    <sheet xmlns:r="http://schemas.openxmlformats.org/officeDocument/2006/relationships" name="Pillar 2 - Meo nau an" sheetId="5" state="visible" r:id="rId5"/>
    <sheet xmlns:r="http://schemas.openxmlformats.org/officeDocument/2006/relationships" name="Pillar 3 - Nong trai" sheetId="6" state="visible" r:id="rId6"/>
    <sheet xmlns:r="http://schemas.openxmlformats.org/officeDocument/2006/relationships" name="Pillar 4 - San pha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b val="1"/>
      <color rgb="0070AD47"/>
      <sz val="10"/>
    </font>
    <font>
      <b val="1"/>
      <color rgb="002E75B6"/>
      <sz val="10"/>
    </font>
    <font>
      <b val="1"/>
      <color rgb="00FF0000"/>
      <sz val="10"/>
    </font>
    <font>
      <b val="1"/>
      <color rgb="00FFFFFF"/>
      <sz val="15"/>
    </font>
    <font>
      <name val="Calibri"/>
      <b val="1"/>
      <sz val="10"/>
    </font>
    <font>
      <b val="1"/>
      <color rgb="00000000"/>
    </font>
    <font>
      <b val="1"/>
      <color rgb="00C00000"/>
    </font>
    <font>
      <b val="1"/>
      <color rgb="00FFFFFF"/>
      <sz val="10"/>
    </font>
    <font>
      <b val="1"/>
      <color rgb="00595959"/>
      <sz val="9"/>
    </font>
    <font>
      <b val="1"/>
      <color rgb="0070AD47"/>
      <sz val="8"/>
    </font>
    <font>
      <b val="1"/>
      <color rgb="002E75B6"/>
      <sz val="8"/>
    </font>
    <font>
      <b val="1"/>
      <color rgb="00FF0000"/>
      <sz val="8"/>
    </font>
    <font>
      <b val="1"/>
      <sz val="11"/>
    </font>
    <font>
      <b val="1"/>
      <color rgb="00FF0000"/>
    </font>
    <font>
      <i val="1"/>
      <color rgb="00595959"/>
      <sz val="9"/>
    </font>
    <font>
      <b val="1"/>
      <color rgb="002E75B6"/>
    </font>
    <font>
      <b val="1"/>
      <color rgb="0070AD47"/>
    </font>
    <font>
      <b val="1"/>
      <color rgb="00FFFFFF"/>
      <sz val="14"/>
    </font>
    <font>
      <b val="1"/>
      <i val="1"/>
    </font>
    <font>
      <b val="1"/>
      <color rgb="00203864"/>
      <sz val="14"/>
    </font>
    <font>
      <color rgb="00000000"/>
      <sz val="10"/>
    </font>
    <font>
      <b val="1"/>
      <color rgb="00C00000"/>
      <sz val="11"/>
    </font>
    <font>
      <b val="1"/>
      <color rgb="00000000"/>
      <sz val="11"/>
    </font>
  </fonts>
  <fills count="19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BF8F00"/>
      </patternFill>
    </fill>
    <fill>
      <patternFill patternType="solid">
        <fgColor rgb="00FFE699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F8CBAD"/>
      </patternFill>
    </fill>
    <fill>
      <patternFill patternType="solid">
        <fgColor rgb="0037562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203864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4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27" fillId="0" borderId="0" applyAlignment="1" pivotButton="0" quotePrefix="0" xfId="0">
      <alignment vertical="top" wrapText="1"/>
    </xf>
    <xf numFmtId="0" fontId="8" fillId="12" borderId="0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0" fillId="16" borderId="1" pivotButton="0" quotePrefix="0" xfId="0"/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8" fillId="6" borderId="1" pivotButton="0" quotePrefix="0" xfId="0"/>
    <xf numFmtId="0" fontId="19" fillId="0" borderId="0" pivotButton="0" quotePrefix="0" xfId="0"/>
    <xf numFmtId="0" fontId="20" fillId="5" borderId="1" pivotButton="0" quotePrefix="0" xfId="0"/>
    <xf numFmtId="0" fontId="21" fillId="4" borderId="1" pivotButton="0" quotePrefix="0" xfId="0"/>
    <xf numFmtId="0" fontId="22" fillId="17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8" borderId="1" pivotButton="0" quotePrefix="0" xfId="0"/>
    <xf numFmtId="0" fontId="0" fillId="5" borderId="1" pivotButton="0" quotePrefix="0" xfId="0"/>
    <xf numFmtId="0" fontId="0" fillId="11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165" fontId="4" fillId="8" borderId="1" applyAlignment="1" pivotButton="0" quotePrefix="0" xfId="0">
      <alignment horizontal="left" vertical="top" wrapText="1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165" fontId="4" fillId="5" borderId="1" applyAlignment="1" pivotButton="0" quotePrefix="0" xfId="0">
      <alignment horizontal="left" vertical="top" wrapText="1"/>
    </xf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165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2E75B6"/>
      </font>
      <fill>
        <patternFill patternType="solid">
          <fgColor rgb="00DDEBF7"/>
        </patternFill>
      </fill>
    </dxf>
    <dxf>
      <font>
        <b val="1"/>
        <color rgb="00C55A11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Content Calendar</author>
  </authors>
  <commentList>
    <comment ref="C4" authorId="0" shapeId="0">
      <text>
        <t>Mã: 1-01
Kênh: Facebook
Phễu: TOFU
Trạng thái: Published
(Click để mở chi tiết trong sheet Pillar)</t>
      </text>
    </comment>
    <comment ref="D4" authorId="0" shapeId="0">
      <text>
        <t>Mã: 1-02
Kênh: Website
Phễu: MOFU
Trạng thái: Published
(Click để mở chi tiết trong sheet Pillar)</t>
      </text>
    </comment>
    <comment ref="E4" authorId="0" shapeId="0">
      <text>
        <t>Mã: 1-03
Kênh: TikTok
Phễu: MOFU
Trạng thái: Published
(Click để mở chi tiết trong sheet Pillar)</t>
      </text>
    </comment>
    <comment ref="F4" authorId="0" shapeId="0">
      <text>
        <t>Mã: 1-04
Kênh: TikTok
Phễu: TOFU
Trạng thái: Approved
(Click để mở chi tiết trong sheet Pillar)</t>
      </text>
    </comment>
    <comment ref="H4" authorId="0" shapeId="0">
      <text>
        <t>Mã: 1-05
Kênh: Website
Phễu: BOFU
Trạng thái: Approved
(Click để mở chi tiết trong sheet Pillar)</t>
      </text>
    </comment>
    <comment ref="B6" authorId="0" shapeId="0">
      <text>
        <t>Mã: 2-01
Kênh: Zalo OA
Phễu: MOFU
Trạng thái: Published
(Click để mở chi tiết trong sheet Pillar)</t>
      </text>
    </comment>
    <comment ref="C6" authorId="0" shapeId="0">
      <text>
        <t>Mã: 2-02
Kênh: Website
Phễu: MOFU
Trạng thái: Published
(Click để mở chi tiết trong sheet Pillar)</t>
      </text>
    </comment>
    <comment ref="D6" authorId="0" shapeId="0">
      <text>
        <t>Mã: 2-03
Kênh: Facebook
Phễu: TOFU
Trạng thái: Published
(Click để mở chi tiết trong sheet Pillar)</t>
      </text>
    </comment>
    <comment ref="E6" authorId="0" shapeId="0">
      <text>
        <t>Mã: 2-04
Kênh: TikTok
Phễu: MOFU
Trạng thái: Approved
(Click để mở chi tiết trong sheet Pillar)</t>
      </text>
    </comment>
    <comment ref="F6" authorId="0" shapeId="0">
      <text>
        <t>Mã: 2-05
Kênh: Facebook
Phễu: TOFU
Trạng thái: Approved
(Click để mở chi tiết trong sheet Pillar)</t>
      </text>
    </comment>
    <comment ref="G6" authorId="0" shapeId="0">
      <text>
        <t>Mã: 2-06
Kênh: Website
Phễu: MOFU
Trạng thái: Draft
(Click để mở chi tiết trong sheet Pillar)</t>
      </text>
    </comment>
    <comment ref="H6" authorId="0" shapeId="0">
      <text>
        <t>Mã: 2-07
Kênh: Zalo OA
Phễu: TOFU
Trạng thái: Draft
(Click để mở chi tiết trong sheet Pillar)</t>
      </text>
    </comment>
    <comment ref="B8" authorId="0" shapeId="0">
      <text>
        <t>Mã: 3-01
Kênh: Facebook
Phễu: TOFU
Trạng thái: Published
(Click để mở chi tiết trong sheet Pillar)</t>
      </text>
    </comment>
    <comment ref="C8" authorId="0" shapeId="0">
      <text>
        <t>Mã: 3-02
Kênh: Website
Phễu: MOFU
Trạng thái: Published
(Click để mở chi tiết trong sheet Pillar)</t>
      </text>
    </comment>
    <comment ref="D8" authorId="0" shapeId="0">
      <text>
        <t>Mã: 3-03
Kênh: Website
Phễu: MOFU
Trạng thái: Published
(Click để mở chi tiết trong sheet Pillar)</t>
      </text>
    </comment>
    <comment ref="E8" authorId="0" shapeId="0">
      <text>
        <t>Mã: 3-04
Kênh: TikTok
Phễu: TOFU
Trạng thái: Approved
(Click để mở chi tiết trong sheet Pillar)</t>
      </text>
    </comment>
    <comment ref="F8" authorId="0" shapeId="0">
      <text>
        <t>Mã: 3-05
Kênh: Facebook
Phễu: TOFU
Trạng thái: Approved
(Click để mở chi tiết trong sheet Pillar)</t>
      </text>
    </comment>
    <comment ref="G8" authorId="0" shapeId="0">
      <text>
        <t>Mã: 3-06
Kênh: Website
Phễu: MOFU
Trạng thái: Draft
(Click để mở chi tiết trong sheet Pillar)</t>
      </text>
    </comment>
    <comment ref="H8" authorId="0" shapeId="0">
      <text>
        <t>Mã: 3-07
Kênh: TikTok
Phễu: TOFU
Trạng thái: Draft
(Click để mở chi tiết trong sheet Pillar)</t>
      </text>
    </comment>
    <comment ref="B10" authorId="0" shapeId="0">
      <text>
        <t>Mã: 4-01
Kênh: Facebook
Phễu: MOFU
Trạng thái: Published
(Click để mở chi tiết trong sheet Pillar)</t>
      </text>
    </comment>
    <comment ref="C10" authorId="0" shapeId="0">
      <text>
        <t>Mã: 4-02
Kênh: Website
Phễu: MOFU
Trạng thái: Published
(Click để mở chi tiết trong sheet Pillar)</t>
      </text>
    </comment>
    <comment ref="D10" authorId="0" shapeId="0">
      <text>
        <t>Mã: 4-03
Kênh: Facebook
Phễu: BOFU
Trạng thái: Approved
(Click để mở chi tiết trong sheet Pillar)</t>
      </text>
    </comment>
    <comment ref="E10" authorId="0" shapeId="0">
      <text>
        <t>Mã: 4-04
Kênh: Zalo OA
Phễu: BOFU
Trạng thái: Approved
(Click để mở chi tiết trong sheet Pillar)</t>
      </text>
    </comment>
    <comment ref="F10" authorId="0" shapeId="0">
      <text>
        <t>Mã: 4-05
Kênh: Zalo OA
Phễu: BOFU
Trạng thái: Draft
(Click để mở chi tiết trong sheet Pillar)</t>
      </text>
    </comment>
    <comment ref="G10" authorId="0" shapeId="0">
      <text>
        <t>Mã: 4-06
Kênh: Website
Phễu: MOFU
Trạng thái: Draft
(Click để mở chi tiết trong sheet Pillar)</t>
      </text>
    </comment>
    <comment ref="H10" authorId="0" shapeId="0">
      <text>
        <t>Mã: 4-07
Kênh: Website
Phễu: BOFU
Trạng thái: Draft
(Click để mở chi tiết trong sheet Pillar)</t>
      </text>
    </comment>
    <comment ref="B12" authorId="0" shapeId="0">
      <text>
        <t>Mã: 1-06
Kênh: Facebook
Phễu: TOFU
Trạng thái: Draft
(Click để mở chi tiết trong sheet Pillar)</t>
      </text>
    </comment>
    <comment ref="C12" authorId="0" shapeId="0">
      <text>
        <t>Mã: 1-07
Kênh: Facebook
Phễu: MOFU
Trạng thái: Draft
(Click để mở chi tiết trong sheet Pillar)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Pillar 1 - An toan TP'!A4" TargetMode="External" Id="rId1"/><Relationship Type="http://schemas.openxmlformats.org/officeDocument/2006/relationships/hyperlink" Target="#'Pillar 1 - An toan TP'!A5" TargetMode="External" Id="rId2"/><Relationship Type="http://schemas.openxmlformats.org/officeDocument/2006/relationships/hyperlink" Target="#'Pillar 1 - An toan TP'!A6" TargetMode="External" Id="rId3"/><Relationship Type="http://schemas.openxmlformats.org/officeDocument/2006/relationships/hyperlink" Target="#'Pillar 1 - An toan TP'!A7" TargetMode="External" Id="rId4"/><Relationship Type="http://schemas.openxmlformats.org/officeDocument/2006/relationships/hyperlink" Target="#'Pillar 1 - An toan TP'!A8" TargetMode="External" Id="rId5"/><Relationship Type="http://schemas.openxmlformats.org/officeDocument/2006/relationships/hyperlink" Target="#'Pillar 2 - Meo nau an'!A4" TargetMode="External" Id="rId6"/><Relationship Type="http://schemas.openxmlformats.org/officeDocument/2006/relationships/hyperlink" Target="#'Pillar 2 - Meo nau an'!A5" TargetMode="External" Id="rId7"/><Relationship Type="http://schemas.openxmlformats.org/officeDocument/2006/relationships/hyperlink" Target="#'Pillar 2 - Meo nau an'!A6" TargetMode="External" Id="rId8"/><Relationship Type="http://schemas.openxmlformats.org/officeDocument/2006/relationships/hyperlink" Target="#'Pillar 2 - Meo nau an'!A7" TargetMode="External" Id="rId9"/><Relationship Type="http://schemas.openxmlformats.org/officeDocument/2006/relationships/hyperlink" Target="#'Pillar 2 - Meo nau an'!A8" TargetMode="External" Id="rId10"/><Relationship Type="http://schemas.openxmlformats.org/officeDocument/2006/relationships/hyperlink" Target="#'Pillar 2 - Meo nau an'!A9" TargetMode="External" Id="rId11"/><Relationship Type="http://schemas.openxmlformats.org/officeDocument/2006/relationships/hyperlink" Target="#'Pillar 2 - Meo nau an'!A10" TargetMode="External" Id="rId12"/><Relationship Type="http://schemas.openxmlformats.org/officeDocument/2006/relationships/hyperlink" Target="#'Pillar 3 - Nong trai'!A4" TargetMode="External" Id="rId13"/><Relationship Type="http://schemas.openxmlformats.org/officeDocument/2006/relationships/hyperlink" Target="#'Pillar 3 - Nong trai'!A5" TargetMode="External" Id="rId14"/><Relationship Type="http://schemas.openxmlformats.org/officeDocument/2006/relationships/hyperlink" Target="#'Pillar 3 - Nong trai'!A6" TargetMode="External" Id="rId15"/><Relationship Type="http://schemas.openxmlformats.org/officeDocument/2006/relationships/hyperlink" Target="#'Pillar 3 - Nong trai'!A7" TargetMode="External" Id="rId16"/><Relationship Type="http://schemas.openxmlformats.org/officeDocument/2006/relationships/hyperlink" Target="#'Pillar 3 - Nong trai'!A8" TargetMode="External" Id="rId17"/><Relationship Type="http://schemas.openxmlformats.org/officeDocument/2006/relationships/hyperlink" Target="#'Pillar 3 - Nong trai'!A9" TargetMode="External" Id="rId18"/><Relationship Type="http://schemas.openxmlformats.org/officeDocument/2006/relationships/hyperlink" Target="#'Pillar 3 - Nong trai'!A10" TargetMode="External" Id="rId19"/><Relationship Type="http://schemas.openxmlformats.org/officeDocument/2006/relationships/hyperlink" Target="#'Pillar 4 - San pham'!A4" TargetMode="External" Id="rId20"/><Relationship Type="http://schemas.openxmlformats.org/officeDocument/2006/relationships/hyperlink" Target="#'Pillar 4 - San pham'!A5" TargetMode="External" Id="rId21"/><Relationship Type="http://schemas.openxmlformats.org/officeDocument/2006/relationships/hyperlink" Target="#'Pillar 4 - San pham'!A6" TargetMode="External" Id="rId22"/><Relationship Type="http://schemas.openxmlformats.org/officeDocument/2006/relationships/hyperlink" Target="#'Pillar 4 - San pham'!A7" TargetMode="External" Id="rId23"/><Relationship Type="http://schemas.openxmlformats.org/officeDocument/2006/relationships/hyperlink" Target="#'Pillar 4 - San pham'!A8" TargetMode="External" Id="rId24"/><Relationship Type="http://schemas.openxmlformats.org/officeDocument/2006/relationships/hyperlink" Target="#'Pillar 4 - San pham'!A9" TargetMode="External" Id="rId25"/><Relationship Type="http://schemas.openxmlformats.org/officeDocument/2006/relationships/hyperlink" Target="#'Pillar 4 - San pham'!A10" TargetMode="External" Id="rId26"/><Relationship Type="http://schemas.openxmlformats.org/officeDocument/2006/relationships/hyperlink" Target="#'Pillar 1 - An toan TP'!A9" TargetMode="External" Id="rId27"/><Relationship Type="http://schemas.openxmlformats.org/officeDocument/2006/relationships/hyperlink" Target="#'Pillar 1 - An toan TP'!A10" TargetMode="External" Id="rId2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HƯỚNG DẪN SỬ DỤNG — CONTENT CALENDAR THEO TUẦN (MỖI TUẦN 1 PILLAR) — XANH GARDEN</t>
        </is>
      </c>
    </row>
    <row r="2">
      <c r="A2" s="2" t="inlineStr"/>
    </row>
    <row r="3">
      <c r="A3" s="3" t="inlineStr">
        <is>
          <t>ĐIỂM KHÁC BIỆT SO VỚI BẢN GỐC:</t>
        </is>
      </c>
    </row>
    <row r="4">
      <c r="A4" s="2" t="inlineStr">
        <is>
          <t xml:space="preserve">   Bản này chia lịch theo TUẦN: mỗi tuần trong tháng chỉ tập trung đăng nội dung của 1 Content Pillar duy nhất,</t>
        </is>
      </c>
    </row>
    <row r="5">
      <c r="A5" s="2" t="inlineStr">
        <is>
          <t xml:space="preserve">   luân phiên lần lượt 4 Pillar qua các tuần (Tuần 1-&gt;Pillar 1, Tuần 2-&gt;Pillar 2, Tuần 3-&gt;Pillar 3, Tuần 4-&gt;Pillar 4, ...).</t>
        </is>
      </c>
    </row>
    <row r="6">
      <c r="A6" s="2" t="inlineStr">
        <is>
          <t xml:space="preserve">   Khác với bản gốc (mỗi Pillar trải đều suốt cả tháng, xen kẽ ngày), bản này giúp mỗi tuần có 1 'chủ đề tuần' rõ ràng,</t>
        </is>
      </c>
    </row>
    <row r="7">
      <c r="A7" s="2" t="inlineStr">
        <is>
          <t xml:space="preserve">   dễ truyền thông nội bộ và dễ lên kịch bản sản xuất theo lô (batch content) cho từng Pillar.</t>
        </is>
      </c>
    </row>
    <row r="8">
      <c r="A8" s="2" t="inlineStr"/>
    </row>
    <row r="9">
      <c r="A9" s="4" t="inlineStr">
        <is>
          <t>1. Sheet 'Content Calendar': Lưới theo TUẦN (hàng) x THỨ TRONG TUẦN (cột: Thứ 2 -&gt; CN).</t>
        </is>
      </c>
    </row>
    <row r="10">
      <c r="A10" s="2" t="inlineStr">
        <is>
          <t xml:space="preserve">   - Cột A merge theo từng tuần, hiển thị 'TUẦN n' + tên Pillar được gán cho tuần đó, tô màu theo Pillar.</t>
        </is>
      </c>
    </row>
    <row r="11">
      <c r="A11" s="2" t="inlineStr">
        <is>
          <t xml:space="preserve">   - Mỗi tuần có 2 dòng: dòng số ngày (nhỏ) và dòng nội dung (to, wrap text) tô màu theo loại 3H.</t>
        </is>
      </c>
    </row>
    <row r="12">
      <c r="A12" s="2" t="inlineStr">
        <is>
          <t xml:space="preserve">   - Click vào ô nội dung để nhảy tới dòng chi tiết Content Brief trong sheet Pillar tương ứng.</t>
        </is>
      </c>
    </row>
    <row r="13">
      <c r="A13" s="2" t="inlineStr">
        <is>
          <t xml:space="preserve">   - Rê chuột vào ô để xem chú thích nhanh: Mã cluster, Kênh, Phễu, Trạng thái.</t>
        </is>
      </c>
    </row>
    <row r="14">
      <c r="A14" s="2" t="inlineStr"/>
    </row>
    <row r="15">
      <c r="A15" s="4" t="inlineStr">
        <is>
          <t>2. 4 sheet 'Pillar 1-4': Mỗi dòng là 1 Content Cluster theo mẫu Content Brief chuẩn (Module 2 - mục 2.6),</t>
        </is>
      </c>
    </row>
    <row r="16">
      <c r="A16" s="2" t="inlineStr">
        <is>
          <t xml:space="preserve">   có thêm cột 'Tuần đăng' để biết cluster thuộc tuần nào. Dropdown: Loại 3H, Kênh, Trạng thái, Mục tiêu phễu.</t>
        </is>
      </c>
    </row>
    <row r="17">
      <c r="A17" s="2" t="inlineStr">
        <is>
          <t xml:space="preserve">   Trạng thái tự đổi màu: Draft (vàng), Review (cam), Approved (xanh dương nhạt), Published (xanh lá).</t>
        </is>
      </c>
    </row>
    <row r="18">
      <c r="A18" s="2" t="inlineStr"/>
    </row>
    <row r="19">
      <c r="A19" s="4" t="inlineStr">
        <is>
          <t>3. Sheet 'Dashboard Can Bang': Đếm số Content Cluster theo từng Tuần/Pillar (công thức COUNTA tự cập nhật)</t>
        </is>
      </c>
    </row>
    <row r="20">
      <c r="A20" s="2" t="inlineStr">
        <is>
          <t xml:space="preserve">   và tỷ lệ % Hero/Hub/Hygiene toàn tháng, đối chiếu khung tỷ lệ đề xuất chuẩn (Hero 5-10%, Hub 40-50%, Hygiene 40-55%).</t>
        </is>
      </c>
    </row>
    <row r="21">
      <c r="A21" s="2" t="inlineStr"/>
    </row>
    <row r="22">
      <c r="A22" s="3" t="inlineStr">
        <is>
          <t>4. Lưu ý cân bằng khi dùng mô hình 'mỗi tuần 1 Pillar': Nguyên tắc mục 2.5 tài liệu Module 2 khuyến nghị KHÔNG</t>
        </is>
      </c>
    </row>
    <row r="23">
      <c r="A23" s="2" t="inlineStr">
        <is>
          <t xml:space="preserve">   dồn hết vào 1 chủ đề trong 1 khoảng thời gian dài. Cách chia theo tuần này đánh đổi giữa tính rõ ràng theo chủ đề tuần</t>
        </is>
      </c>
    </row>
    <row r="24">
      <c r="A24" s="2" t="inlineStr">
        <is>
          <t xml:space="preserve">   và rủi ro 'lệch cân bằng' nếu khách theo dõi trong đúng 1 tuần chỉ thấy 1 Pillar. Nên bổ sung 1-2 bài Hygiene</t>
        </is>
      </c>
    </row>
    <row r="25">
      <c r="A25" s="2" t="inlineStr">
        <is>
          <t xml:space="preserve">   'xen ngang' từ Pillar khác trong tuần nếu cần duy trì cảm giác đa dạng nội dung khi khách hàng xem lại nhiều lần/tuần.</t>
        </is>
      </c>
    </row>
    <row r="26">
      <c r="A26" s="2" t="inlineStr"/>
    </row>
    <row r="27">
      <c r="A27" s="4" t="inlineStr">
        <is>
          <t>5. Nguồn tham chiếu chiến lược: Module 2 - Chiến lược Nội dung (calendar-3H.md) - Content Pillar, Topic Cluster,</t>
        </is>
      </c>
    </row>
    <row r="28">
      <c r="A28" s="2" t="inlineStr">
        <is>
          <t xml:space="preserve">   Mô hình 3H (Hero-Hub-Hygiene), Content Calendar, Content Brief. Case mẫu: thương hiệu 'Xanh Garden' (mục 9 tài liệu).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5" t="inlineStr">
        <is>
          <t>CONTENT CALENDAR THÁNG 9/2026 — XANH GARDEN (Mỗi tuần tập trung 1 Content Pillar)</t>
        </is>
      </c>
    </row>
    <row r="2" ht="22" customHeight="1">
      <c r="A2" s="6" t="inlineStr">
        <is>
          <t>Tuần / Pillar</t>
        </is>
      </c>
      <c r="B2" s="7" t="inlineStr">
        <is>
          <t>Thứ 2</t>
        </is>
      </c>
      <c r="C2" s="7" t="inlineStr">
        <is>
          <t>Thứ 3</t>
        </is>
      </c>
      <c r="D2" s="7" t="inlineStr">
        <is>
          <t>Thứ 4</t>
        </is>
      </c>
      <c r="E2" s="7" t="inlineStr">
        <is>
          <t>Thứ 5</t>
        </is>
      </c>
      <c r="F2" s="7" t="inlineStr">
        <is>
          <t>Thứ 6</t>
        </is>
      </c>
      <c r="G2" s="7" t="inlineStr">
        <is>
          <t>Thứ 7</t>
        </is>
      </c>
      <c r="H2" s="8" t="inlineStr">
        <is>
          <t>CN</t>
        </is>
      </c>
    </row>
    <row r="3" ht="16" customHeight="1">
      <c r="A3" s="9" t="inlineStr">
        <is>
          <t>TUẦN 1
P1: An toàn thực phẩm cho gia đình</t>
        </is>
      </c>
      <c r="B3" s="10" t="n"/>
      <c r="C3" s="11" t="n">
        <v>1</v>
      </c>
      <c r="D3" s="11" t="n">
        <v>2</v>
      </c>
      <c r="E3" s="11" t="n">
        <v>3</v>
      </c>
      <c r="F3" s="11" t="n">
        <v>4</v>
      </c>
      <c r="G3" s="11" t="n">
        <v>5</v>
      </c>
      <c r="H3" s="11" t="n">
        <v>6</v>
      </c>
    </row>
    <row r="4" ht="60" customHeight="1">
      <c r="B4" s="10" t="n"/>
      <c r="C4" s="12" t="inlineStr">
        <is>
          <t>[HY] 3 dấu hiệu rau ngậm hóa chất mẹ cần biết</t>
        </is>
      </c>
      <c r="D4" s="12" t="inlineStr">
        <is>
          <t>[HY] Rau VietGAP là gì? Vì sao Xanh Garden chọn chuẩn này</t>
        </is>
      </c>
      <c r="E4" s="13" t="inlineStr">
        <is>
          <t>[HU] Câu chuyện truy xuất nguồn gốc qua mã QR</t>
        </is>
      </c>
      <c r="F4" s="13" t="inlineStr">
        <is>
          <t>[HU] Thử thách: Mẹ nào phân biệt được rau sạch bằng mắt thường?</t>
        </is>
      </c>
      <c r="G4" s="14" t="n"/>
      <c r="H4" s="12" t="inlineStr">
        <is>
          <t>[HY] Giấy chứng nhận an toàn thực phẩm - Xanh Garden có gì khác biệt?</t>
        </is>
      </c>
    </row>
    <row r="5" ht="16" customHeight="1">
      <c r="A5" s="15" t="inlineStr">
        <is>
          <t>TUẦN 2
P2: Mẹo nấu ăn nhanh cho mẹ bận rộn</t>
        </is>
      </c>
      <c r="B5" s="16" t="n">
        <v>7</v>
      </c>
      <c r="C5" s="16" t="n">
        <v>8</v>
      </c>
      <c r="D5" s="16" t="n">
        <v>9</v>
      </c>
      <c r="E5" s="16" t="n">
        <v>10</v>
      </c>
      <c r="F5" s="16" t="n">
        <v>11</v>
      </c>
      <c r="G5" s="16" t="n">
        <v>12</v>
      </c>
      <c r="H5" s="16" t="n">
        <v>13</v>
      </c>
    </row>
    <row r="6" ht="60" customHeight="1">
      <c r="B6" s="13" t="inlineStr">
        <is>
          <t>[HU] Thực đơn 15 phút cho bé tuần này</t>
        </is>
      </c>
      <c r="C6" s="13" t="inlineStr">
        <is>
          <t>[HU] Công thức súp rau củ dinh dưỡng cho bé ăn dặm</t>
        </is>
      </c>
      <c r="D6" s="12" t="inlineStr">
        <is>
          <t>[HY] Cách bảo quản rau tươi lâu hơn trong tủ lạnh</t>
        </is>
      </c>
      <c r="E6" s="13" t="inlineStr">
        <is>
          <t>[HU] Series: Vào bếp cùng Xanh Garden - Tập 1 Canh chua thanh mát</t>
        </is>
      </c>
      <c r="F6" s="12" t="inlineStr">
        <is>
          <t>[HY] 5 sai lầm khi sơ chế rau khiến mất chất dinh dưỡng</t>
        </is>
      </c>
      <c r="G6" s="17" t="inlineStr">
        <is>
          <t>[HE] Thực đơn 1 tuần cân bằng dinh dưỡng cho cả nhà</t>
        </is>
      </c>
      <c r="H6" s="12" t="inlineStr">
        <is>
          <t>[HY] Mẹo giữ màu xanh đẹp mắt khi luộc rau</t>
        </is>
      </c>
    </row>
    <row r="7" ht="16" customHeight="1">
      <c r="A7" s="18" t="inlineStr">
        <is>
          <t>TUẦN 3
P3: Câu chuyện nông trại</t>
        </is>
      </c>
      <c r="B7" s="19" t="n">
        <v>14</v>
      </c>
      <c r="C7" s="19" t="n">
        <v>15</v>
      </c>
      <c r="D7" s="19" t="n">
        <v>16</v>
      </c>
      <c r="E7" s="19" t="n">
        <v>17</v>
      </c>
      <c r="F7" s="19" t="n">
        <v>18</v>
      </c>
      <c r="G7" s="19" t="n">
        <v>19</v>
      </c>
      <c r="H7" s="19" t="n">
        <v>20</v>
      </c>
    </row>
    <row r="8" ht="60" customHeight="1">
      <c r="B8" s="13" t="inlineStr">
        <is>
          <t>[HU] Ghé thăm nông trại đối tác tại Đà Lạt</t>
        </is>
      </c>
      <c r="C8" s="13" t="inlineStr">
        <is>
          <t>[HU] Người nông dân đứng sau lô rau của bạn</t>
        </is>
      </c>
      <c r="D8" s="12" t="inlineStr">
        <is>
          <t>[HY] Quy trình thu hoạch - đóng gói trong 24h</t>
        </is>
      </c>
      <c r="E8" s="17" t="inlineStr">
        <is>
          <t>[HE] Một ngày làm nông dân cùng Xanh Garden (Trải nghiệm KOL)</t>
        </is>
      </c>
      <c r="F8" s="12" t="inlineStr">
        <is>
          <t>[HY] Mùa nào rau nào? Lịch thu hoạch theo mùa vụ</t>
        </is>
      </c>
      <c r="G8" s="13" t="inlineStr">
        <is>
          <t>[HU] Cam kết không hóa chất - Xanh Garden kiểm tra đất và nước ra sao?</t>
        </is>
      </c>
      <c r="H8" s="12" t="inlineStr">
        <is>
          <t>[HY] Video ngắn: Bình minh trên nông trại hữu cơ</t>
        </is>
      </c>
    </row>
    <row r="9" ht="16" customHeight="1">
      <c r="A9" s="20" t="inlineStr">
        <is>
          <t>TUẦN 4
P4: Sản phẩm &amp; Ưu đãi Xanh Garden</t>
        </is>
      </c>
      <c r="B9" s="21" t="n">
        <v>21</v>
      </c>
      <c r="C9" s="21" t="n">
        <v>22</v>
      </c>
      <c r="D9" s="21" t="n">
        <v>23</v>
      </c>
      <c r="E9" s="21" t="n">
        <v>24</v>
      </c>
      <c r="F9" s="21" t="n">
        <v>25</v>
      </c>
      <c r="G9" s="21" t="n">
        <v>26</v>
      </c>
      <c r="H9" s="21" t="n">
        <v>27</v>
      </c>
    </row>
    <row r="10" ht="60" customHeight="1">
      <c r="B10" s="17" t="inlineStr">
        <is>
          <t>[HE] Ra mắt combo Trung Thu: Rau củ quả biếu tặng cao cấp</t>
        </is>
      </c>
      <c r="C10" s="12" t="inlineStr">
        <is>
          <t>[HY] So sánh chi phí: Mua rau Xanh Garden vs đi chợ truyền thống</t>
        </is>
      </c>
      <c r="D10" s="13" t="inlineStr">
        <is>
          <t>[HU] Đánh giá từ khách hàng thật: 3 tháng dùng Xanh Garden</t>
        </is>
      </c>
      <c r="E10" s="12" t="inlineStr">
        <is>
          <t>[HY] Chính sách đổi trả trong 30 phút - Cam kết của Xanh Garden</t>
        </is>
      </c>
      <c r="F10" s="13" t="inlineStr">
        <is>
          <t>[HU] Ưu đãi thành viên tháng: Tích điểm đổi combo miễn phí</t>
        </is>
      </c>
      <c r="G10" s="12" t="inlineStr">
        <is>
          <t>[HY] Hậu trường: Vì sao giá rau Xanh Garden như hiện tại?</t>
        </is>
      </c>
      <c r="H10" s="12" t="inlineStr">
        <is>
          <t>[HY] FAQ: Khu vực nào Xanh Garden giao hàng trong 2 giờ?</t>
        </is>
      </c>
    </row>
    <row r="11" ht="16" customHeight="1">
      <c r="A11" s="9" t="inlineStr">
        <is>
          <t>TUẦN 5
P1: An toàn thực phẩm cho gia đình</t>
        </is>
      </c>
      <c r="B11" s="11" t="n">
        <v>28</v>
      </c>
      <c r="C11" s="11" t="n">
        <v>29</v>
      </c>
      <c r="D11" s="11" t="n">
        <v>30</v>
      </c>
      <c r="E11" s="10" t="n"/>
      <c r="F11" s="10" t="n"/>
      <c r="G11" s="10" t="n"/>
      <c r="H11" s="10" t="n"/>
    </row>
    <row r="12" ht="60" customHeight="1">
      <c r="B12" s="12" t="inlineStr">
        <is>
          <t>[HY] Mẹ có biết: Rửa rau đúng cách để loại bỏ tối đa dư lượng?</t>
        </is>
      </c>
      <c r="C12" s="17" t="inlineStr">
        <is>
          <t>[HE] Đối thoại với chuyên gia dinh dưỡng: Rau củ nào tốt nhất cho trẻ nhỏ</t>
        </is>
      </c>
      <c r="D12" s="14" t="n"/>
      <c r="E12" s="10" t="n"/>
      <c r="F12" s="10" t="n"/>
      <c r="G12" s="10" t="n"/>
      <c r="H12" s="10" t="n"/>
    </row>
    <row r="14">
      <c r="A14" s="22" t="inlineStr">
        <is>
          <t>CHÚ GIẢI (LEGEND)</t>
        </is>
      </c>
    </row>
    <row r="15">
      <c r="A15" s="23" t="inlineStr">
        <is>
          <t>Hero (HE)</t>
        </is>
      </c>
      <c r="B15" s="24" t="inlineStr">
        <is>
          <t>Click vào ô nội dung để mở chi tiết Content Brief tương ứng trong sheet Pillar.</t>
        </is>
      </c>
    </row>
    <row r="16">
      <c r="A16" s="25" t="inlineStr">
        <is>
          <t>Hub (HU)</t>
        </is>
      </c>
      <c r="B16" s="24" t="inlineStr">
        <is>
          <t>Click vào ô nội dung để mở chi tiết Content Brief tương ứng trong sheet Pillar.</t>
        </is>
      </c>
    </row>
    <row r="17">
      <c r="A17" s="26" t="inlineStr">
        <is>
          <t>Hygiene (HY)</t>
        </is>
      </c>
      <c r="B17" s="24" t="inlineStr">
        <is>
          <t>Click vào ô nội dung để mở chi tiết Content Brief tương ứng trong sheet Pillar.</t>
        </is>
      </c>
    </row>
    <row r="19">
      <c r="A19" s="24" t="inlineStr">
        <is>
          <t>Màu dải mỗi Tuần tương ứng màu tiêu đề sheet Pillar được gán cho tuần đó (xem cột A).</t>
        </is>
      </c>
    </row>
    <row r="20">
      <c r="A20" s="24" t="inlineStr">
        <is>
          <t>Phân bổ: Tuần 1: An toàn thực phẩm cho gia đình; Tuần 2: Mẹo nấu ăn nhanh cho mẹ bận rộn; Tuần 3: Câu chuyện nông trại; Tuần 4: Sản phẩm &amp; Ưu đãi Xanh Garden; Tuần 5: An toàn thực phẩm cho gia đình</t>
        </is>
      </c>
    </row>
  </sheetData>
  <mergeCells count="7">
    <mergeCell ref="A5:A6"/>
    <mergeCell ref="A9:A10"/>
    <mergeCell ref="A20:H20"/>
    <mergeCell ref="A3:A4"/>
    <mergeCell ref="A7:A8"/>
    <mergeCell ref="A1:H1"/>
    <mergeCell ref="A11:A12"/>
  </mergeCells>
  <hyperlinks>
    <hyperlink xmlns:r="http://schemas.openxmlformats.org/officeDocument/2006/relationships" ref="C4" r:id="rId1"/>
    <hyperlink xmlns:r="http://schemas.openxmlformats.org/officeDocument/2006/relationships" ref="D4" r:id="rId2"/>
    <hyperlink xmlns:r="http://schemas.openxmlformats.org/officeDocument/2006/relationships" ref="E4" r:id="rId3"/>
    <hyperlink xmlns:r="http://schemas.openxmlformats.org/officeDocument/2006/relationships" ref="F4" r:id="rId4"/>
    <hyperlink xmlns:r="http://schemas.openxmlformats.org/officeDocument/2006/relationships" ref="H4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D6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H6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D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G8" r:id="rId18"/>
    <hyperlink xmlns:r="http://schemas.openxmlformats.org/officeDocument/2006/relationships" ref="H8" r:id="rId19"/>
    <hyperlink xmlns:r="http://schemas.openxmlformats.org/officeDocument/2006/relationships" ref="B10" r:id="rId20"/>
    <hyperlink xmlns:r="http://schemas.openxmlformats.org/officeDocument/2006/relationships" ref="C10" r:id="rId21"/>
    <hyperlink xmlns:r="http://schemas.openxmlformats.org/officeDocument/2006/relationships" ref="D10" r:id="rId22"/>
    <hyperlink xmlns:r="http://schemas.openxmlformats.org/officeDocument/2006/relationships" ref="E10" r:id="rId23"/>
    <hyperlink xmlns:r="http://schemas.openxmlformats.org/officeDocument/2006/relationships" ref="F10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B12" r:id="rId27"/>
    <hyperlink xmlns:r="http://schemas.openxmlformats.org/officeDocument/2006/relationships" ref="C12" r:id="rId2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20" customWidth="1" min="4" max="4"/>
  </cols>
  <sheetData>
    <row r="1" ht="26" customHeight="1">
      <c r="A1" s="27" t="inlineStr">
        <is>
          <t>DASHBOARD KIỂM TRA CÂN BẰNG NỘI DUNG — THÁNG 9/2026 (Theo Tuần)</t>
        </is>
      </c>
    </row>
    <row r="3">
      <c r="A3" s="28" t="inlineStr">
        <is>
          <t>Tuần</t>
        </is>
      </c>
      <c r="B3" s="28" t="inlineStr">
        <is>
          <t>Pillar được gán</t>
        </is>
      </c>
      <c r="C3" s="28" t="inlineStr">
        <is>
          <t>Số Content Cluster</t>
        </is>
      </c>
      <c r="D3" s="28" t="inlineStr">
        <is>
          <t>Đạt tối thiểu 3-5 bài?</t>
        </is>
      </c>
    </row>
    <row r="4">
      <c r="A4" s="29" t="inlineStr">
        <is>
          <t>Tuần 1</t>
        </is>
      </c>
      <c r="B4" s="30" t="inlineStr">
        <is>
          <t>PILLAR 1: An toàn thực phẩm cho gia đình</t>
        </is>
      </c>
      <c r="C4" s="29">
        <f>COUNTA('Pillar 1 - An toan TP'!B4:B100)</f>
        <v/>
      </c>
      <c r="D4" s="29">
        <f>IF(C4&gt;=3,"✓ Đạt","✗ Cần bổ sung")</f>
        <v/>
      </c>
    </row>
    <row r="5">
      <c r="A5" s="29" t="inlineStr">
        <is>
          <t>Tuần 2</t>
        </is>
      </c>
      <c r="B5" s="31" t="inlineStr">
        <is>
          <t>PILLAR 2: Mẹo nấu ăn nhanh cho mẹ bận rộn</t>
        </is>
      </c>
      <c r="C5" s="29">
        <f>COUNTA('Pillar 2 - Meo nau an'!B4:B100)</f>
        <v/>
      </c>
      <c r="D5" s="29">
        <f>IF(C5&gt;=3,"✓ Đạt","✗ Cần bổ sung")</f>
        <v/>
      </c>
    </row>
    <row r="6">
      <c r="A6" s="29" t="inlineStr">
        <is>
          <t>Tuần 3</t>
        </is>
      </c>
      <c r="B6" s="32" t="inlineStr">
        <is>
          <t>PILLAR 3: Câu chuyện nông trại</t>
        </is>
      </c>
      <c r="C6" s="29">
        <f>COUNTA('Pillar 3 - Nong trai'!B4:B100)</f>
        <v/>
      </c>
      <c r="D6" s="29">
        <f>IF(C6&gt;=3,"✓ Đạt","✗ Cần bổ sung")</f>
        <v/>
      </c>
    </row>
    <row r="7">
      <c r="A7" s="29" t="inlineStr">
        <is>
          <t>Tuần 4</t>
        </is>
      </c>
      <c r="B7" s="33" t="inlineStr">
        <is>
          <t>PILLAR 4: Sản phẩm &amp; Ưu đãi Xanh Garden</t>
        </is>
      </c>
      <c r="C7" s="29">
        <f>COUNTA('Pillar 4 - San pham'!B4:B100)</f>
        <v/>
      </c>
      <c r="D7" s="29">
        <f>IF(C7&gt;=3,"✓ Đạt","✗ Cần bổ sung")</f>
        <v/>
      </c>
    </row>
    <row r="8">
      <c r="A8" s="29" t="inlineStr">
        <is>
          <t>Tuần 5</t>
        </is>
      </c>
      <c r="B8" s="30" t="inlineStr">
        <is>
          <t>PILLAR 1: An toàn thực phẩm cho gia đình</t>
        </is>
      </c>
      <c r="C8" s="29">
        <f>COUNTA('Pillar 1 - An toan TP'!B4:B100)</f>
        <v/>
      </c>
      <c r="D8" s="29">
        <f>IF(C8&gt;=3,"✓ Đạt","✗ Cần bổ sung")</f>
        <v/>
      </c>
    </row>
    <row r="10">
      <c r="A10" s="28" t="inlineStr">
        <is>
          <t>Loại 3H</t>
        </is>
      </c>
      <c r="B10" s="28" t="inlineStr">
        <is>
          <t>Số lượng</t>
        </is>
      </c>
      <c r="C10" s="28" t="inlineStr">
        <is>
          <t>Tỷ lệ %</t>
        </is>
      </c>
      <c r="D10" s="28" t="inlineStr">
        <is>
          <t>Khung đề xuất (SME)</t>
        </is>
      </c>
    </row>
    <row r="11">
      <c r="A11" s="23" t="inlineStr">
        <is>
          <t>Hero</t>
        </is>
      </c>
      <c r="B11" s="29" t="n">
        <v>4</v>
      </c>
      <c r="C11" s="34">
        <f>B11/28</f>
        <v/>
      </c>
      <c r="D11" s="29" t="inlineStr">
        <is>
          <t>5-10%</t>
        </is>
      </c>
    </row>
    <row r="12">
      <c r="A12" s="25" t="inlineStr">
        <is>
          <t>Hub</t>
        </is>
      </c>
      <c r="B12" s="29" t="n">
        <v>10</v>
      </c>
      <c r="C12" s="34">
        <f>B12/28</f>
        <v/>
      </c>
      <c r="D12" s="29" t="inlineStr">
        <is>
          <t>40-50%</t>
        </is>
      </c>
    </row>
    <row r="13">
      <c r="A13" s="26" t="inlineStr">
        <is>
          <t>Hygiene</t>
        </is>
      </c>
      <c r="B13" s="29" t="n">
        <v>14</v>
      </c>
      <c r="C13" s="34">
        <f>B13/28</f>
        <v/>
      </c>
      <c r="D13" s="29" t="inlineStr">
        <is>
          <t>40-55%</t>
        </is>
      </c>
    </row>
    <row r="14">
      <c r="A14" s="35" t="inlineStr">
        <is>
          <t>Tổng số Content Cluster trong tháng: 28  |  Số tuần lịch: 5</t>
        </is>
      </c>
    </row>
  </sheetData>
  <mergeCells count="1">
    <mergeCell ref="A1:F1"/>
  </mergeCells>
  <conditionalFormatting sqref="D4:D8">
    <cfRule type="expression" priority="1" dxfId="0">
      <formula>D4="✓ Đạt"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26" customWidth="1" min="5" max="5"/>
    <col width="26" customWidth="1" min="6" max="6"/>
    <col width="26" customWidth="1" min="7" max="7"/>
    <col width="20" customWidth="1" min="8" max="8"/>
    <col width="40" customWidth="1" min="9" max="9"/>
    <col width="26" customWidth="1" min="10" max="10"/>
    <col width="12" customWidth="1" min="11" max="11"/>
    <col width="10" customWidth="1" min="12" max="12"/>
    <col width="12" customWidth="1" min="13" max="13"/>
    <col width="12" customWidth="1" min="14" max="14"/>
    <col width="16" customWidth="1" min="15" max="15"/>
    <col width="12" customWidth="1" min="16" max="16"/>
    <col width="22" customWidth="1" min="17" max="17"/>
  </cols>
  <sheetData>
    <row r="1" ht="28" customHeight="1">
      <c r="A1" s="36" t="inlineStr">
        <is>
          <t>PILLAR 1: An toàn thực phẩm cho gia đình</t>
        </is>
      </c>
    </row>
    <row r="2" ht="18" customHeight="1">
      <c r="A2" s="37" t="inlineStr">
        <is>
          <t>Persona: Chị Lan - Mẹ bỉm sữa quan tâm sức khỏe gia đình  |  Thương hiệu: Xanh Garden  |  Tháng: 9/2026  |  Pillar này đăng vào: Tuần 1, Tuần 5</t>
        </is>
      </c>
    </row>
    <row r="3" ht="32" customHeight="1">
      <c r="A3" s="38" t="inlineStr">
        <is>
          <t>Mã Cluster</t>
        </is>
      </c>
      <c r="B3" s="38" t="inlineStr">
        <is>
          <t>Tên bài/Chủ đề</t>
        </is>
      </c>
      <c r="C3" s="38" t="inlineStr">
        <is>
          <t>Loại 3H</t>
        </is>
      </c>
      <c r="D3" s="38" t="inlineStr">
        <is>
          <t>Mục tiêu phễu
(TOFU/MOFU/BOFU)</t>
        </is>
      </c>
      <c r="E3" s="38" t="inlineStr">
        <is>
          <t>Persona mục tiêu</t>
        </is>
      </c>
      <c r="F3" s="38" t="inlineStr">
        <is>
          <t>Từ khóa chính</t>
        </is>
      </c>
      <c r="G3" s="38" t="inlineStr">
        <is>
          <t>Tone giọng điệu</t>
        </is>
      </c>
      <c r="H3" s="38" t="inlineStr">
        <is>
          <t>Độ dài mong muốn</t>
        </is>
      </c>
      <c r="I3" s="38" t="inlineStr">
        <is>
          <t>Outline/Dàn ý chính</t>
        </is>
      </c>
      <c r="J3" s="38" t="inlineStr">
        <is>
          <t>CTA mong muốn</t>
        </is>
      </c>
      <c r="K3" s="38" t="inlineStr">
        <is>
          <t>Kênh đăng</t>
        </is>
      </c>
      <c r="L3" s="38" t="inlineStr">
        <is>
          <t>Tuần đăng</t>
        </is>
      </c>
      <c r="M3" s="38" t="inlineStr">
        <is>
          <t>Ngày đăng</t>
        </is>
      </c>
      <c r="N3" s="38" t="inlineStr">
        <is>
          <t>Deadline</t>
        </is>
      </c>
      <c r="O3" s="38" t="inlineStr">
        <is>
          <t>Người phụ trách</t>
        </is>
      </c>
      <c r="P3" s="38" t="inlineStr">
        <is>
          <t>Trạng thái</t>
        </is>
      </c>
      <c r="Q3" s="38" t="inlineStr">
        <is>
          <t>KPI dự kiến</t>
        </is>
      </c>
    </row>
    <row r="4">
      <c r="A4" s="39" t="inlineStr">
        <is>
          <t>1-01</t>
        </is>
      </c>
      <c r="B4" s="39" t="inlineStr">
        <is>
          <t>3 dấu hiệu rau ngậm hóa chất mẹ cần biết</t>
        </is>
      </c>
      <c r="C4" s="40" t="inlineStr">
        <is>
          <t>Hygiene</t>
        </is>
      </c>
      <c r="D4" s="39" t="inlineStr">
        <is>
          <t>TOFU</t>
        </is>
      </c>
      <c r="E4" s="39" t="inlineStr">
        <is>
          <t>Chị Lan - Mẹ bỉm sữa quan tâm sức khỏe gia đình</t>
        </is>
      </c>
      <c r="F4" s="39" t="inlineStr">
        <is>
          <t>rau ngậm hóa chất, cách nhận biết rau bẩn</t>
        </is>
      </c>
      <c r="G4" s="39" t="inlineStr">
        <is>
          <t>Gần gũi, tin cậy, có dẫn chứng khoa học</t>
        </is>
      </c>
      <c r="H4" s="39" t="inlineStr">
        <is>
          <t>500-700 từ</t>
        </is>
      </c>
      <c r="I4" s="39" t="inlineStr">
        <is>
          <t>Hook: câu chuyện mẹ đi chợ lo lắng -&gt; 3 dấu hiệu nhận biết (màu sắc, mùi, độ giòn) -&gt; lời khuyên chọn rau an toàn</t>
        </is>
      </c>
      <c r="J4" s="39" t="inlineStr">
        <is>
          <t>Đăng ký nhận rau kiểm định VietGAP</t>
        </is>
      </c>
      <c r="K4" s="39" t="inlineStr">
        <is>
          <t>Facebook</t>
        </is>
      </c>
      <c r="L4" s="39" t="inlineStr">
        <is>
          <t>Tuần 1</t>
        </is>
      </c>
      <c r="M4" s="41" t="n">
        <v>46266</v>
      </c>
      <c r="N4" s="41" t="n">
        <v>46264</v>
      </c>
      <c r="O4" s="39" t="inlineStr">
        <is>
          <t>Writer A</t>
        </is>
      </c>
      <c r="P4" s="39" t="inlineStr">
        <is>
          <t>Published</t>
        </is>
      </c>
      <c r="Q4" s="39" t="inlineStr">
        <is>
          <t>Organic traffic; Time on page &gt; 1'30"; Giảm câu hỏi CSKH</t>
        </is>
      </c>
    </row>
    <row r="5">
      <c r="A5" s="39" t="inlineStr">
        <is>
          <t>1-02</t>
        </is>
      </c>
      <c r="B5" s="39" t="inlineStr">
        <is>
          <t>Rau VietGAP là gì? Vì sao Xanh Garden chọn chuẩn này</t>
        </is>
      </c>
      <c r="C5" s="40" t="inlineStr">
        <is>
          <t>Hygiene</t>
        </is>
      </c>
      <c r="D5" s="39" t="inlineStr">
        <is>
          <t>MOFU</t>
        </is>
      </c>
      <c r="E5" s="39" t="inlineStr">
        <is>
          <t>Chị Lan - Mẹ bỉm sữa quan tâm sức khỏe gia đình</t>
        </is>
      </c>
      <c r="F5" s="39" t="inlineStr">
        <is>
          <t>rau VietGAP là gì, chuẩn rau an toàn</t>
        </is>
      </c>
      <c r="G5" s="39" t="inlineStr">
        <is>
          <t>Chuyên nghiệp, dễ hiểu, không dùng thuật ngữ khó</t>
        </is>
      </c>
      <c r="H5" s="39" t="inlineStr">
        <is>
          <t>700-900 từ</t>
        </is>
      </c>
      <c r="I5" s="39" t="inlineStr">
        <is>
          <t>Định nghĩa VietGAP -&gt; So sánh với rau thường -&gt; Quy trình kiểm định của Xanh Garden</t>
        </is>
      </c>
      <c r="J5" s="39" t="inlineStr">
        <is>
          <t>Xem chứng nhận VietGAP của Xanh Garden</t>
        </is>
      </c>
      <c r="K5" s="39" t="inlineStr">
        <is>
          <t>Website</t>
        </is>
      </c>
      <c r="L5" s="39" t="inlineStr">
        <is>
          <t>Tuần 1</t>
        </is>
      </c>
      <c r="M5" s="41" t="n">
        <v>46267</v>
      </c>
      <c r="N5" s="41" t="n">
        <v>46265</v>
      </c>
      <c r="O5" s="39" t="inlineStr">
        <is>
          <t>Writer B</t>
        </is>
      </c>
      <c r="P5" s="39" t="inlineStr">
        <is>
          <t>Published</t>
        </is>
      </c>
      <c r="Q5" s="39" t="inlineStr">
        <is>
          <t>Organic traffic; Time on page &gt; 1'30"; Giảm câu hỏi CSKH</t>
        </is>
      </c>
    </row>
    <row r="6">
      <c r="A6" s="39" t="inlineStr">
        <is>
          <t>1-03</t>
        </is>
      </c>
      <c r="B6" s="39" t="inlineStr">
        <is>
          <t>Câu chuyện truy xuất nguồn gốc qua mã QR</t>
        </is>
      </c>
      <c r="C6" s="42" t="inlineStr">
        <is>
          <t>Hub</t>
        </is>
      </c>
      <c r="D6" s="39" t="inlineStr">
        <is>
          <t>MOFU</t>
        </is>
      </c>
      <c r="E6" s="39" t="inlineStr">
        <is>
          <t>Chị Lan - Mẹ bỉm sữa quan tâm sức khỏe gia đình</t>
        </is>
      </c>
      <c r="F6" s="39" t="inlineStr">
        <is>
          <t>truy xuất nguồn gốc rau, QR code thực phẩm</t>
        </is>
      </c>
      <c r="G6" s="39" t="inlineStr">
        <is>
          <t>Minh bạch, tin cậy, có tính giáo dục</t>
        </is>
      </c>
      <c r="H6" s="39" t="inlineStr">
        <is>
          <t>600-800 từ + video ngắn</t>
        </is>
      </c>
      <c r="I6" s="39" t="inlineStr">
        <is>
          <t>Demo quét mã QR trên bao bì -&gt; Thông tin hiển thị (ngày thu hoạch, nông trại) -&gt; Cam kết minh bạch</t>
        </is>
      </c>
      <c r="J6" s="39" t="inlineStr">
        <is>
          <t>Trải nghiệm quét QR trên đơn hàng tiếp theo</t>
        </is>
      </c>
      <c r="K6" s="39" t="inlineStr">
        <is>
          <t>TikTok</t>
        </is>
      </c>
      <c r="L6" s="39" t="inlineStr">
        <is>
          <t>Tuần 1</t>
        </is>
      </c>
      <c r="M6" s="41" t="n">
        <v>46268</v>
      </c>
      <c r="N6" s="41" t="n">
        <v>46266</v>
      </c>
      <c r="O6" s="39" t="inlineStr">
        <is>
          <t>Designer C</t>
        </is>
      </c>
      <c r="P6" s="39" t="inlineStr">
        <is>
          <t>Published</t>
        </is>
      </c>
      <c r="Q6" s="39" t="inlineStr">
        <is>
          <t>Engagement rate &gt; 5%; Returning visitor +; Watch time</t>
        </is>
      </c>
    </row>
    <row r="7">
      <c r="A7" s="39" t="inlineStr">
        <is>
          <t>1-04</t>
        </is>
      </c>
      <c r="B7" s="39" t="inlineStr">
        <is>
          <t>Thử thách: Mẹ nào phân biệt được rau sạch bằng mắt thường?</t>
        </is>
      </c>
      <c r="C7" s="42" t="inlineStr">
        <is>
          <t>Hub</t>
        </is>
      </c>
      <c r="D7" s="39" t="inlineStr">
        <is>
          <t>TOFU</t>
        </is>
      </c>
      <c r="E7" s="39" t="inlineStr">
        <is>
          <t>Chị Lan - Mẹ bỉm sữa quan tâm sức khỏe gia đình</t>
        </is>
      </c>
      <c r="F7" s="39" t="inlineStr">
        <is>
          <t>phân biệt rau sạch, rau organic</t>
        </is>
      </c>
      <c r="G7" s="39" t="inlineStr">
        <is>
          <t>Vui vẻ, tương tác, khuyến khích comment</t>
        </is>
      </c>
      <c r="H7" s="39" t="inlineStr">
        <is>
          <t>Video ngắn 30-60s</t>
        </is>
      </c>
      <c r="I7" s="39" t="inlineStr">
        <is>
          <t>Đưa ra 2 loại rau (sạch/không rõ nguồn) -&gt; Đố người xem đoán -&gt; Reveal đáp án + giải thích</t>
        </is>
      </c>
      <c r="J7" s="39" t="inlineStr">
        <is>
          <t>Comment dự đoán để nhận ưu đãi</t>
        </is>
      </c>
      <c r="K7" s="39" t="inlineStr">
        <is>
          <t>TikTok</t>
        </is>
      </c>
      <c r="L7" s="39" t="inlineStr">
        <is>
          <t>Tuần 1</t>
        </is>
      </c>
      <c r="M7" s="41" t="n">
        <v>46269</v>
      </c>
      <c r="N7" s="41" t="n">
        <v>46267</v>
      </c>
      <c r="O7" s="39" t="inlineStr">
        <is>
          <t>Writer A</t>
        </is>
      </c>
      <c r="P7" s="39" t="inlineStr">
        <is>
          <t>Approved</t>
        </is>
      </c>
      <c r="Q7" s="39" t="inlineStr">
        <is>
          <t>Engagement rate &gt; 5%; Returning visitor +; Watch time</t>
        </is>
      </c>
    </row>
    <row r="8">
      <c r="A8" s="39" t="inlineStr">
        <is>
          <t>1-05</t>
        </is>
      </c>
      <c r="B8" s="39" t="inlineStr">
        <is>
          <t>Giấy chứng nhận an toàn thực phẩm - Xanh Garden có gì khác biệt?</t>
        </is>
      </c>
      <c r="C8" s="40" t="inlineStr">
        <is>
          <t>Hygiene</t>
        </is>
      </c>
      <c r="D8" s="39" t="inlineStr">
        <is>
          <t>BOFU</t>
        </is>
      </c>
      <c r="E8" s="39" t="inlineStr">
        <is>
          <t>Chị Lan - Mẹ bỉm sữa quan tâm sức khỏe gia đình</t>
        </is>
      </c>
      <c r="F8" s="39" t="inlineStr">
        <is>
          <t>chứng nhận an toàn thực phẩm, rau sạch có giấy tờ</t>
        </is>
      </c>
      <c r="G8" s="39" t="inlineStr">
        <is>
          <t>Chuyên nghiệp, minh bạch</t>
        </is>
      </c>
      <c r="H8" s="39" t="inlineStr">
        <is>
          <t>500-600 từ</t>
        </is>
      </c>
      <c r="I8" s="39" t="inlineStr">
        <is>
          <t>Danh sách chứng nhận hiện có -&gt; Quy trình audit định kỳ -&gt; Cam kết hoàn tiền nếu phát hiện vi phạm</t>
        </is>
      </c>
      <c r="J8" s="39" t="inlineStr">
        <is>
          <t>Xem đầy đủ hồ sơ chứng nhận</t>
        </is>
      </c>
      <c r="K8" s="39" t="inlineStr">
        <is>
          <t>Website</t>
        </is>
      </c>
      <c r="L8" s="39" t="inlineStr">
        <is>
          <t>Tuần 1</t>
        </is>
      </c>
      <c r="M8" s="41" t="n">
        <v>46271</v>
      </c>
      <c r="N8" s="41" t="n">
        <v>46269</v>
      </c>
      <c r="O8" s="39" t="inlineStr">
        <is>
          <t>Content Lead</t>
        </is>
      </c>
      <c r="P8" s="39" t="inlineStr">
        <is>
          <t>Approved</t>
        </is>
      </c>
      <c r="Q8" s="39" t="inlineStr">
        <is>
          <t>Organic traffic; Time on page &gt; 1'30"; Giảm câu hỏi CSKH</t>
        </is>
      </c>
    </row>
    <row r="9">
      <c r="A9" s="39" t="inlineStr">
        <is>
          <t>1-06</t>
        </is>
      </c>
      <c r="B9" s="39" t="inlineStr">
        <is>
          <t>Mẹ có biết: Rửa rau đúng cách để loại bỏ tối đa dư lượng?</t>
        </is>
      </c>
      <c r="C9" s="40" t="inlineStr">
        <is>
          <t>Hygiene</t>
        </is>
      </c>
      <c r="D9" s="39" t="inlineStr">
        <is>
          <t>TOFU</t>
        </is>
      </c>
      <c r="E9" s="39" t="inlineStr">
        <is>
          <t>Chị Lan - Mẹ bỉm sữa quan tâm sức khỏe gia đình</t>
        </is>
      </c>
      <c r="F9" s="39" t="inlineStr">
        <is>
          <t>cách rửa rau sạch, loại bỏ dư lượng thuốc trừ sâu</t>
        </is>
      </c>
      <c r="G9" s="39" t="inlineStr">
        <is>
          <t>Hữu ích, thân thiện, dễ áp dụng</t>
        </is>
      </c>
      <c r="H9" s="39" t="inlineStr">
        <is>
          <t>400-600 từ</t>
        </is>
      </c>
      <c r="I9" s="39" t="inlineStr">
        <is>
          <t>3 bước rửa rau chuẩn -&gt; Sai lầm thường gặp -&gt; Mẹo ngâm nước muối/baking soda</t>
        </is>
      </c>
      <c r="J9" s="39" t="inlineStr">
        <is>
          <t>Lưu bài để áp dụng ngay</t>
        </is>
      </c>
      <c r="K9" s="39" t="inlineStr">
        <is>
          <t>Facebook</t>
        </is>
      </c>
      <c r="L9" s="39" t="inlineStr">
        <is>
          <t>Tuần 5</t>
        </is>
      </c>
      <c r="M9" s="41" t="n">
        <v>46293</v>
      </c>
      <c r="N9" s="41" t="n">
        <v>46291</v>
      </c>
      <c r="O9" s="39" t="inlineStr">
        <is>
          <t>Writer B</t>
        </is>
      </c>
      <c r="P9" s="39" t="inlineStr">
        <is>
          <t>Draft</t>
        </is>
      </c>
      <c r="Q9" s="39" t="inlineStr">
        <is>
          <t>Organic traffic; Time on page &gt; 1'30"; Giảm câu hỏi CSKH</t>
        </is>
      </c>
    </row>
    <row r="10">
      <c r="A10" s="39" t="inlineStr">
        <is>
          <t>1-07</t>
        </is>
      </c>
      <c r="B10" s="39" t="inlineStr">
        <is>
          <t>Đối thoại với chuyên gia dinh dưỡng: Rau củ nào tốt nhất cho trẻ nhỏ</t>
        </is>
      </c>
      <c r="C10" s="43" t="inlineStr">
        <is>
          <t>Hero</t>
        </is>
      </c>
      <c r="D10" s="39" t="inlineStr">
        <is>
          <t>MOFU</t>
        </is>
      </c>
      <c r="E10" s="39" t="inlineStr">
        <is>
          <t>Chị Lan - Mẹ bỉm sữa quan tâm sức khỏe gia đình</t>
        </is>
      </c>
      <c r="F10" s="39" t="inlineStr">
        <is>
          <t>rau củ tốt cho trẻ nhỏ, dinh dưỡng cho bé</t>
        </is>
      </c>
      <c r="G10" s="39" t="inlineStr">
        <is>
          <t>Tin cậy, chuyên môn cao nhưng gần gũi</t>
        </is>
      </c>
      <c r="H10" s="39" t="inlineStr">
        <is>
          <t>Video 5-7 phút, phát trên nhiều kênh</t>
        </is>
      </c>
      <c r="I10" s="39" t="inlineStr">
        <is>
          <t>Phỏng vấn chuyên gia dinh dưỡng -&gt; Top 5 loại rau tốt cho bé -&gt; Liên hệ sản phẩm Xanh Garden</t>
        </is>
      </c>
      <c r="J10" s="39" t="inlineStr">
        <is>
          <t>Đặt combo rau củ cho bé ưu đãi tháng này</t>
        </is>
      </c>
      <c r="K10" s="39" t="inlineStr">
        <is>
          <t>Facebook</t>
        </is>
      </c>
      <c r="L10" s="39" t="inlineStr">
        <is>
          <t>Tuần 5</t>
        </is>
      </c>
      <c r="M10" s="41" t="n">
        <v>46294</v>
      </c>
      <c r="N10" s="41" t="n">
        <v>46292</v>
      </c>
      <c r="O10" s="39" t="inlineStr">
        <is>
          <t>Designer C</t>
        </is>
      </c>
      <c r="P10" s="39" t="inlineStr">
        <is>
          <t>Draft</t>
        </is>
      </c>
      <c r="Q10" s="39" t="inlineStr">
        <is>
          <t>Reach &gt; 50,000; Brand Lift +10%; Share of Voice</t>
        </is>
      </c>
    </row>
  </sheetData>
  <mergeCells count="2">
    <mergeCell ref="A2:Q2"/>
    <mergeCell ref="A1:Q1"/>
  </mergeCells>
  <conditionalFormatting sqref="P4:P10">
    <cfRule type="cellIs" priority="1" operator="equal" dxfId="1">
      <formula>"Published"</formula>
    </cfRule>
    <cfRule type="cellIs" priority="2" operator="equal" dxfId="2">
      <formula>"Draft"</formula>
    </cfRule>
    <cfRule type="cellIs" priority="3" operator="equal" dxfId="3">
      <formula>"Approved"</formula>
    </cfRule>
    <cfRule type="cellIs" priority="4" operator="equal" dxfId="4">
      <formula>"Review"</formula>
    </cfRule>
  </conditionalFormatting>
  <dataValidations count="4">
    <dataValidation sqref="C4:C10" showDropDown="0" showInputMessage="0" showErrorMessage="0" allowBlank="0" type="list">
      <formula1>"Hero,Hub,Hygiene"</formula1>
    </dataValidation>
    <dataValidation sqref="K4:K10" showDropDown="0" showInputMessage="0" showErrorMessage="0" allowBlank="0" type="list">
      <formula1>"Facebook,Zalo OA,Website,TikTok,Email"</formula1>
    </dataValidation>
    <dataValidation sqref="P4:P10" showDropDown="0" showInputMessage="0" showErrorMessage="0" allowBlank="0" type="list">
      <formula1>"Draft,Review,Approved,Published"</formula1>
    </dataValidation>
    <dataValidation sqref="D4:D10" showDropDown="0" showInputMessage="0" showErrorMessage="0" allowBlank="0" type="list">
      <formula1>"TOFU,MOFU,BOFU"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26" customWidth="1" min="5" max="5"/>
    <col width="26" customWidth="1" min="6" max="6"/>
    <col width="26" customWidth="1" min="7" max="7"/>
    <col width="20" customWidth="1" min="8" max="8"/>
    <col width="40" customWidth="1" min="9" max="9"/>
    <col width="26" customWidth="1" min="10" max="10"/>
    <col width="12" customWidth="1" min="11" max="11"/>
    <col width="10" customWidth="1" min="12" max="12"/>
    <col width="12" customWidth="1" min="13" max="13"/>
    <col width="12" customWidth="1" min="14" max="14"/>
    <col width="16" customWidth="1" min="15" max="15"/>
    <col width="12" customWidth="1" min="16" max="16"/>
    <col width="22" customWidth="1" min="17" max="17"/>
  </cols>
  <sheetData>
    <row r="1" ht="28" customHeight="1">
      <c r="A1" s="44" t="inlineStr">
        <is>
          <t>PILLAR 2: Mẹo nấu ăn nhanh cho mẹ bận rộn</t>
        </is>
      </c>
    </row>
    <row r="2" ht="18" customHeight="1">
      <c r="A2" s="37" t="inlineStr">
        <is>
          <t>Persona: Chị Lan - Mẹ bỉm sữa quan tâm sức khỏe gia đình  |  Thương hiệu: Xanh Garden  |  Tháng: 9/2026  |  Pillar này đăng vào: Tuần 2</t>
        </is>
      </c>
    </row>
    <row r="3" ht="32" customHeight="1">
      <c r="A3" s="45" t="inlineStr">
        <is>
          <t>Mã Cluster</t>
        </is>
      </c>
      <c r="B3" s="45" t="inlineStr">
        <is>
          <t>Tên bài/Chủ đề</t>
        </is>
      </c>
      <c r="C3" s="45" t="inlineStr">
        <is>
          <t>Loại 3H</t>
        </is>
      </c>
      <c r="D3" s="45" t="inlineStr">
        <is>
          <t>Mục tiêu phễu
(TOFU/MOFU/BOFU)</t>
        </is>
      </c>
      <c r="E3" s="45" t="inlineStr">
        <is>
          <t>Persona mục tiêu</t>
        </is>
      </c>
      <c r="F3" s="45" t="inlineStr">
        <is>
          <t>Từ khóa chính</t>
        </is>
      </c>
      <c r="G3" s="45" t="inlineStr">
        <is>
          <t>Tone giọng điệu</t>
        </is>
      </c>
      <c r="H3" s="45" t="inlineStr">
        <is>
          <t>Độ dài mong muốn</t>
        </is>
      </c>
      <c r="I3" s="45" t="inlineStr">
        <is>
          <t>Outline/Dàn ý chính</t>
        </is>
      </c>
      <c r="J3" s="45" t="inlineStr">
        <is>
          <t>CTA mong muốn</t>
        </is>
      </c>
      <c r="K3" s="45" t="inlineStr">
        <is>
          <t>Kênh đăng</t>
        </is>
      </c>
      <c r="L3" s="45" t="inlineStr">
        <is>
          <t>Tuần đăng</t>
        </is>
      </c>
      <c r="M3" s="45" t="inlineStr">
        <is>
          <t>Ngày đăng</t>
        </is>
      </c>
      <c r="N3" s="45" t="inlineStr">
        <is>
          <t>Deadline</t>
        </is>
      </c>
      <c r="O3" s="45" t="inlineStr">
        <is>
          <t>Người phụ trách</t>
        </is>
      </c>
      <c r="P3" s="45" t="inlineStr">
        <is>
          <t>Trạng thái</t>
        </is>
      </c>
      <c r="Q3" s="45" t="inlineStr">
        <is>
          <t>KPI dự kiến</t>
        </is>
      </c>
    </row>
    <row r="4">
      <c r="A4" s="46" t="inlineStr">
        <is>
          <t>2-01</t>
        </is>
      </c>
      <c r="B4" s="46" t="inlineStr">
        <is>
          <t>Thực đơn 15 phút cho bé tuần này</t>
        </is>
      </c>
      <c r="C4" s="42" t="inlineStr">
        <is>
          <t>Hub</t>
        </is>
      </c>
      <c r="D4" s="46" t="inlineStr">
        <is>
          <t>MOFU</t>
        </is>
      </c>
      <c r="E4" s="46" t="inlineStr">
        <is>
          <t>Chị Lan - Mẹ bỉm sữa quan tâm sức khỏe gia đình</t>
        </is>
      </c>
      <c r="F4" s="46" t="inlineStr">
        <is>
          <t>thực đơn nhanh cho bé, nấu ăn 15 phút</t>
        </is>
      </c>
      <c r="G4" s="46" t="inlineStr">
        <is>
          <t>Gần gũi, thực tế, tiết kiệm thời gian</t>
        </is>
      </c>
      <c r="H4" s="46" t="inlineStr">
        <is>
          <t>600-800 từ + hình ảnh từng bước</t>
        </is>
      </c>
      <c r="I4" s="46" t="inlineStr">
        <is>
          <t>3 món ăn 15 phút -&gt; Nguyên liệu có sẵn trong combo Xanh Garden -&gt; Mẹo sơ chế nhanh</t>
        </is>
      </c>
      <c r="J4" s="46" t="inlineStr">
        <is>
          <t>Đặt hàng nguyên liệu trong bài</t>
        </is>
      </c>
      <c r="K4" s="46" t="inlineStr">
        <is>
          <t>Zalo OA</t>
        </is>
      </c>
      <c r="L4" s="46" t="inlineStr">
        <is>
          <t>Tuần 2</t>
        </is>
      </c>
      <c r="M4" s="47" t="n">
        <v>46272</v>
      </c>
      <c r="N4" s="47" t="n">
        <v>46270</v>
      </c>
      <c r="O4" s="46" t="inlineStr">
        <is>
          <t>Writer A</t>
        </is>
      </c>
      <c r="P4" s="46" t="inlineStr">
        <is>
          <t>Published</t>
        </is>
      </c>
      <c r="Q4" s="46" t="inlineStr">
        <is>
          <t>Engagement rate &gt; 5%; Returning visitor +; Watch time</t>
        </is>
      </c>
    </row>
    <row r="5">
      <c r="A5" s="46" t="inlineStr">
        <is>
          <t>2-02</t>
        </is>
      </c>
      <c r="B5" s="46" t="inlineStr">
        <is>
          <t>Công thức súp rau củ dinh dưỡng cho bé ăn dặm</t>
        </is>
      </c>
      <c r="C5" s="42" t="inlineStr">
        <is>
          <t>Hub</t>
        </is>
      </c>
      <c r="D5" s="46" t="inlineStr">
        <is>
          <t>MOFU</t>
        </is>
      </c>
      <c r="E5" s="46" t="inlineStr">
        <is>
          <t>Chị Lan - Mẹ bỉm sữa quan tâm sức khỏe gia đình</t>
        </is>
      </c>
      <c r="F5" s="46" t="inlineStr">
        <is>
          <t>súp rau củ cho bé ăn dặm, công thức ăn dặm</t>
        </is>
      </c>
      <c r="G5" s="46" t="inlineStr">
        <is>
          <t>Ấm áp, chăm chút, chuyên môn dinh dưỡng</t>
        </is>
      </c>
      <c r="H5" s="46" t="inlineStr">
        <is>
          <t>500-700 từ</t>
        </is>
      </c>
      <c r="I5" s="46" t="inlineStr">
        <is>
          <t>Nguyên liệu cần chuẩn bị -&gt; 4 bước nấu súp -&gt; Lưu ý dinh dưỡng theo độ tuổi bé</t>
        </is>
      </c>
      <c r="J5" s="46" t="inlineStr">
        <is>
          <t>Xem trọn bộ thực đơn ăn dặm trên Website</t>
        </is>
      </c>
      <c r="K5" s="46" t="inlineStr">
        <is>
          <t>Website</t>
        </is>
      </c>
      <c r="L5" s="46" t="inlineStr">
        <is>
          <t>Tuần 2</t>
        </is>
      </c>
      <c r="M5" s="47" t="n">
        <v>46273</v>
      </c>
      <c r="N5" s="47" t="n">
        <v>46271</v>
      </c>
      <c r="O5" s="46" t="inlineStr">
        <is>
          <t>Writer B</t>
        </is>
      </c>
      <c r="P5" s="46" t="inlineStr">
        <is>
          <t>Published</t>
        </is>
      </c>
      <c r="Q5" s="46" t="inlineStr">
        <is>
          <t>Engagement rate &gt; 5%; Returning visitor +; Watch time</t>
        </is>
      </c>
    </row>
    <row r="6">
      <c r="A6" s="46" t="inlineStr">
        <is>
          <t>2-03</t>
        </is>
      </c>
      <c r="B6" s="46" t="inlineStr">
        <is>
          <t>Cách bảo quản rau tươi lâu hơn trong tủ lạnh</t>
        </is>
      </c>
      <c r="C6" s="40" t="inlineStr">
        <is>
          <t>Hygiene</t>
        </is>
      </c>
      <c r="D6" s="46" t="inlineStr">
        <is>
          <t>TOFU</t>
        </is>
      </c>
      <c r="E6" s="46" t="inlineStr">
        <is>
          <t>Chị Lan - Mẹ bỉm sữa quan tâm sức khỏe gia đình</t>
        </is>
      </c>
      <c r="F6" s="46" t="inlineStr">
        <is>
          <t>bảo quản rau tươi trong tủ lạnh, mẹo giữ rau lâu</t>
        </is>
      </c>
      <c r="G6" s="46" t="inlineStr">
        <is>
          <t>Hữu ích, dễ áp dụng ngay</t>
        </is>
      </c>
      <c r="H6" s="46" t="inlineStr">
        <is>
          <t>400-500 từ</t>
        </is>
      </c>
      <c r="I6" s="46" t="inlineStr">
        <is>
          <t>Sai lầm thường gặp khi bảo quản -&gt; 5 mẹo giữ rau tươi 7 ngày -&gt; Loại hộp/túi nên dùng</t>
        </is>
      </c>
      <c r="J6" s="46" t="inlineStr">
        <is>
          <t>Lưu bài lại để áp dụng</t>
        </is>
      </c>
      <c r="K6" s="46" t="inlineStr">
        <is>
          <t>Facebook</t>
        </is>
      </c>
      <c r="L6" s="46" t="inlineStr">
        <is>
          <t>Tuần 2</t>
        </is>
      </c>
      <c r="M6" s="47" t="n">
        <v>46274</v>
      </c>
      <c r="N6" s="47" t="n">
        <v>46272</v>
      </c>
      <c r="O6" s="46" t="inlineStr">
        <is>
          <t>Designer C</t>
        </is>
      </c>
      <c r="P6" s="46" t="inlineStr">
        <is>
          <t>Published</t>
        </is>
      </c>
      <c r="Q6" s="46" t="inlineStr">
        <is>
          <t>Organic traffic; Time on page &gt; 1'30"; Giảm câu hỏi CSKH</t>
        </is>
      </c>
    </row>
    <row r="7">
      <c r="A7" s="46" t="inlineStr">
        <is>
          <t>2-04</t>
        </is>
      </c>
      <c r="B7" s="46" t="inlineStr">
        <is>
          <t>Series: Vào bếp cùng Xanh Garden - Tập 1 Canh chua thanh mát</t>
        </is>
      </c>
      <c r="C7" s="42" t="inlineStr">
        <is>
          <t>Hub</t>
        </is>
      </c>
      <c r="D7" s="46" t="inlineStr">
        <is>
          <t>MOFU</t>
        </is>
      </c>
      <c r="E7" s="46" t="inlineStr">
        <is>
          <t>Chị Lan - Mẹ bỉm sữa quan tâm sức khỏe gia đình</t>
        </is>
      </c>
      <c r="F7" s="46" t="inlineStr">
        <is>
          <t>công thức canh chua, nấu ăn cùng Xanh Garden</t>
        </is>
      </c>
      <c r="G7" s="46" t="inlineStr">
        <is>
          <t>Vui vẻ, gần gũi như bạn bè chia sẻ</t>
        </is>
      </c>
      <c r="H7" s="46" t="inlineStr">
        <is>
          <t>Video 3-5 phút</t>
        </is>
      </c>
      <c r="I7" s="46" t="inlineStr">
        <is>
          <t>Giới thiệu nguyên liệu combo tuần -&gt; Hướng dẫn nấu từng bước -&gt; Kêu gọi đón tập tiếp theo</t>
        </is>
      </c>
      <c r="J7" s="46" t="inlineStr">
        <is>
          <t>Theo dõi để xem tập tiếp theo</t>
        </is>
      </c>
      <c r="K7" s="46" t="inlineStr">
        <is>
          <t>TikTok</t>
        </is>
      </c>
      <c r="L7" s="46" t="inlineStr">
        <is>
          <t>Tuần 2</t>
        </is>
      </c>
      <c r="M7" s="47" t="n">
        <v>46275</v>
      </c>
      <c r="N7" s="47" t="n">
        <v>46273</v>
      </c>
      <c r="O7" s="46" t="inlineStr">
        <is>
          <t>Writer A</t>
        </is>
      </c>
      <c r="P7" s="46" t="inlineStr">
        <is>
          <t>Approved</t>
        </is>
      </c>
      <c r="Q7" s="46" t="inlineStr">
        <is>
          <t>Engagement rate &gt; 5%; Returning visitor +; Watch time</t>
        </is>
      </c>
    </row>
    <row r="8">
      <c r="A8" s="46" t="inlineStr">
        <is>
          <t>2-05</t>
        </is>
      </c>
      <c r="B8" s="46" t="inlineStr">
        <is>
          <t>5 sai lầm khi sơ chế rau khiến mất chất dinh dưỡng</t>
        </is>
      </c>
      <c r="C8" s="40" t="inlineStr">
        <is>
          <t>Hygiene</t>
        </is>
      </c>
      <c r="D8" s="46" t="inlineStr">
        <is>
          <t>TOFU</t>
        </is>
      </c>
      <c r="E8" s="46" t="inlineStr">
        <is>
          <t>Chị Lan - Mẹ bỉm sữa quan tâm sức khỏe gia đình</t>
        </is>
      </c>
      <c r="F8" s="46" t="inlineStr">
        <is>
          <t>sơ chế rau đúng cách, giữ dinh dưỡng khi nấu</t>
        </is>
      </c>
      <c r="G8" s="46" t="inlineStr">
        <is>
          <t>Hữu ích, có căn cứ khoa học</t>
        </is>
      </c>
      <c r="H8" s="46" t="inlineStr">
        <is>
          <t>600-700 từ</t>
        </is>
      </c>
      <c r="I8" s="46" t="inlineStr">
        <is>
          <t>5 sai lầm phổ biến (cắt quá nhỏ, ngâm quá lâu...) -&gt; Cách khắc phục -&gt; Mẹo giữ vitamin</t>
        </is>
      </c>
      <c r="J8" s="46" t="inlineStr">
        <is>
          <t>Chia sẻ bài cho bạn bè cùng biết</t>
        </is>
      </c>
      <c r="K8" s="46" t="inlineStr">
        <is>
          <t>Facebook</t>
        </is>
      </c>
      <c r="L8" s="46" t="inlineStr">
        <is>
          <t>Tuần 2</t>
        </is>
      </c>
      <c r="M8" s="47" t="n">
        <v>46276</v>
      </c>
      <c r="N8" s="47" t="n">
        <v>46274</v>
      </c>
      <c r="O8" s="46" t="inlineStr">
        <is>
          <t>Content Lead</t>
        </is>
      </c>
      <c r="P8" s="46" t="inlineStr">
        <is>
          <t>Approved</t>
        </is>
      </c>
      <c r="Q8" s="46" t="inlineStr">
        <is>
          <t>Organic traffic; Time on page &gt; 1'30"; Giảm câu hỏi CSKH</t>
        </is>
      </c>
    </row>
    <row r="9">
      <c r="A9" s="46" t="inlineStr">
        <is>
          <t>2-06</t>
        </is>
      </c>
      <c r="B9" s="46" t="inlineStr">
        <is>
          <t>Thực đơn 1 tuần cân bằng dinh dưỡng cho cả nhà</t>
        </is>
      </c>
      <c r="C9" s="43" t="inlineStr">
        <is>
          <t>Hero</t>
        </is>
      </c>
      <c r="D9" s="46" t="inlineStr">
        <is>
          <t>MOFU</t>
        </is>
      </c>
      <c r="E9" s="46" t="inlineStr">
        <is>
          <t>Chị Lan - Mẹ bỉm sữa quan tâm sức khỏe gia đình</t>
        </is>
      </c>
      <c r="F9" s="46" t="inlineStr">
        <is>
          <t>thực đơn 1 tuần cho gia đình, thực đơn dinh dưỡng</t>
        </is>
      </c>
      <c r="G9" s="46" t="inlineStr">
        <is>
          <t>Chuyên môn, đầu tư kỹ, hình ảnh đẹp</t>
        </is>
      </c>
      <c r="H9" s="46" t="inlineStr">
        <is>
          <t>E-book/Infographic dài, đầu tư thiết kế cao</t>
        </is>
      </c>
      <c r="I9" s="46" t="inlineStr">
        <is>
          <t>Thực đơn chi tiết 7 ngày -&gt; Danh sách nguyên liệu theo combo Xanh Garden -&gt; Ưu đãi đặt trọn combo tuần</t>
        </is>
      </c>
      <c r="J9" s="46" t="inlineStr">
        <is>
          <t>Đặt combo thực đơn 1 tuần - giảm 15%</t>
        </is>
      </c>
      <c r="K9" s="46" t="inlineStr">
        <is>
          <t>Website</t>
        </is>
      </c>
      <c r="L9" s="46" t="inlineStr">
        <is>
          <t>Tuần 2</t>
        </is>
      </c>
      <c r="M9" s="47" t="n">
        <v>46277</v>
      </c>
      <c r="N9" s="47" t="n">
        <v>46275</v>
      </c>
      <c r="O9" s="46" t="inlineStr">
        <is>
          <t>Writer B</t>
        </is>
      </c>
      <c r="P9" s="46" t="inlineStr">
        <is>
          <t>Draft</t>
        </is>
      </c>
      <c r="Q9" s="46" t="inlineStr">
        <is>
          <t>Reach &gt; 50,000; Brand Lift +10%; Share of Voice</t>
        </is>
      </c>
    </row>
    <row r="10">
      <c r="A10" s="46" t="inlineStr">
        <is>
          <t>2-07</t>
        </is>
      </c>
      <c r="B10" s="46" t="inlineStr">
        <is>
          <t>Mẹo giữ màu xanh đẹp mắt khi luộc rau</t>
        </is>
      </c>
      <c r="C10" s="40" t="inlineStr">
        <is>
          <t>Hygiene</t>
        </is>
      </c>
      <c r="D10" s="46" t="inlineStr">
        <is>
          <t>TOFU</t>
        </is>
      </c>
      <c r="E10" s="46" t="inlineStr">
        <is>
          <t>Chị Lan - Mẹ bỉm sữa quan tâm sức khỏe gia đình</t>
        </is>
      </c>
      <c r="F10" s="46" t="inlineStr">
        <is>
          <t>luộc rau không bị vàng, giữ màu rau xanh</t>
        </is>
      </c>
      <c r="G10" s="46" t="inlineStr">
        <is>
          <t>Ngắn gọn, hữu ích tức thời</t>
        </is>
      </c>
      <c r="H10" s="46" t="inlineStr">
        <is>
          <t>300-400 từ</t>
        </is>
      </c>
      <c r="I10" s="46" t="inlineStr">
        <is>
          <t>Nguyên nhân rau bị vàng khi luộc -&gt; 3 mẹo giữ màu xanh -&gt; Áp dụng thử ngay</t>
        </is>
      </c>
      <c r="J10" s="46" t="inlineStr">
        <is>
          <t>Thử ngay và feedback cho Xanh Garden</t>
        </is>
      </c>
      <c r="K10" s="46" t="inlineStr">
        <is>
          <t>Zalo OA</t>
        </is>
      </c>
      <c r="L10" s="46" t="inlineStr">
        <is>
          <t>Tuần 2</t>
        </is>
      </c>
      <c r="M10" s="47" t="n">
        <v>46278</v>
      </c>
      <c r="N10" s="47" t="n">
        <v>46276</v>
      </c>
      <c r="O10" s="46" t="inlineStr">
        <is>
          <t>Designer C</t>
        </is>
      </c>
      <c r="P10" s="46" t="inlineStr">
        <is>
          <t>Draft</t>
        </is>
      </c>
      <c r="Q10" s="46" t="inlineStr">
        <is>
          <t>Organic traffic; Time on page &gt; 1'30"; Giảm câu hỏi CSKH</t>
        </is>
      </c>
    </row>
  </sheetData>
  <mergeCells count="2">
    <mergeCell ref="A2:Q2"/>
    <mergeCell ref="A1:Q1"/>
  </mergeCells>
  <conditionalFormatting sqref="P4:P10">
    <cfRule type="cellIs" priority="1" operator="equal" dxfId="1">
      <formula>"Published"</formula>
    </cfRule>
    <cfRule type="cellIs" priority="2" operator="equal" dxfId="2">
      <formula>"Draft"</formula>
    </cfRule>
    <cfRule type="cellIs" priority="3" operator="equal" dxfId="3">
      <formula>"Approved"</formula>
    </cfRule>
    <cfRule type="cellIs" priority="4" operator="equal" dxfId="4">
      <formula>"Review"</formula>
    </cfRule>
  </conditionalFormatting>
  <dataValidations count="4">
    <dataValidation sqref="C4:C10" showDropDown="0" showInputMessage="0" showErrorMessage="0" allowBlank="0" type="list">
      <formula1>"Hero,Hub,Hygiene"</formula1>
    </dataValidation>
    <dataValidation sqref="K4:K10" showDropDown="0" showInputMessage="0" showErrorMessage="0" allowBlank="0" type="list">
      <formula1>"Facebook,Zalo OA,Website,TikTok,Email"</formula1>
    </dataValidation>
    <dataValidation sqref="P4:P10" showDropDown="0" showInputMessage="0" showErrorMessage="0" allowBlank="0" type="list">
      <formula1>"Draft,Review,Approved,Published"</formula1>
    </dataValidation>
    <dataValidation sqref="D4:D10" showDropDown="0" showInputMessage="0" showErrorMessage="0" allowBlank="0" type="list">
      <formula1>"TOFU,MOFU,BOFU"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26" customWidth="1" min="5" max="5"/>
    <col width="26" customWidth="1" min="6" max="6"/>
    <col width="26" customWidth="1" min="7" max="7"/>
    <col width="20" customWidth="1" min="8" max="8"/>
    <col width="40" customWidth="1" min="9" max="9"/>
    <col width="26" customWidth="1" min="10" max="10"/>
    <col width="12" customWidth="1" min="11" max="11"/>
    <col width="10" customWidth="1" min="12" max="12"/>
    <col width="12" customWidth="1" min="13" max="13"/>
    <col width="12" customWidth="1" min="14" max="14"/>
    <col width="16" customWidth="1" min="15" max="15"/>
    <col width="12" customWidth="1" min="16" max="16"/>
    <col width="22" customWidth="1" min="17" max="17"/>
  </cols>
  <sheetData>
    <row r="1" ht="28" customHeight="1">
      <c r="A1" s="48" t="inlineStr">
        <is>
          <t>PILLAR 3: Câu chuyện nông trại</t>
        </is>
      </c>
    </row>
    <row r="2" ht="18" customHeight="1">
      <c r="A2" s="37" t="inlineStr">
        <is>
          <t>Persona: Chị Lan - Mẹ bỉm sữa quan tâm sức khỏe gia đình  |  Thương hiệu: Xanh Garden  |  Tháng: 9/2026  |  Pillar này đăng vào: Tuần 3</t>
        </is>
      </c>
    </row>
    <row r="3" ht="32" customHeight="1">
      <c r="A3" s="49" t="inlineStr">
        <is>
          <t>Mã Cluster</t>
        </is>
      </c>
      <c r="B3" s="49" t="inlineStr">
        <is>
          <t>Tên bài/Chủ đề</t>
        </is>
      </c>
      <c r="C3" s="49" t="inlineStr">
        <is>
          <t>Loại 3H</t>
        </is>
      </c>
      <c r="D3" s="49" t="inlineStr">
        <is>
          <t>Mục tiêu phễu
(TOFU/MOFU/BOFU)</t>
        </is>
      </c>
      <c r="E3" s="49" t="inlineStr">
        <is>
          <t>Persona mục tiêu</t>
        </is>
      </c>
      <c r="F3" s="49" t="inlineStr">
        <is>
          <t>Từ khóa chính</t>
        </is>
      </c>
      <c r="G3" s="49" t="inlineStr">
        <is>
          <t>Tone giọng điệu</t>
        </is>
      </c>
      <c r="H3" s="49" t="inlineStr">
        <is>
          <t>Độ dài mong muốn</t>
        </is>
      </c>
      <c r="I3" s="49" t="inlineStr">
        <is>
          <t>Outline/Dàn ý chính</t>
        </is>
      </c>
      <c r="J3" s="49" t="inlineStr">
        <is>
          <t>CTA mong muốn</t>
        </is>
      </c>
      <c r="K3" s="49" t="inlineStr">
        <is>
          <t>Kênh đăng</t>
        </is>
      </c>
      <c r="L3" s="49" t="inlineStr">
        <is>
          <t>Tuần đăng</t>
        </is>
      </c>
      <c r="M3" s="49" t="inlineStr">
        <is>
          <t>Ngày đăng</t>
        </is>
      </c>
      <c r="N3" s="49" t="inlineStr">
        <is>
          <t>Deadline</t>
        </is>
      </c>
      <c r="O3" s="49" t="inlineStr">
        <is>
          <t>Người phụ trách</t>
        </is>
      </c>
      <c r="P3" s="49" t="inlineStr">
        <is>
          <t>Trạng thái</t>
        </is>
      </c>
      <c r="Q3" s="49" t="inlineStr">
        <is>
          <t>KPI dự kiến</t>
        </is>
      </c>
    </row>
    <row r="4">
      <c r="A4" s="50" t="inlineStr">
        <is>
          <t>3-01</t>
        </is>
      </c>
      <c r="B4" s="50" t="inlineStr">
        <is>
          <t>Ghé thăm nông trại đối tác tại Đà Lạt</t>
        </is>
      </c>
      <c r="C4" s="42" t="inlineStr">
        <is>
          <t>Hub</t>
        </is>
      </c>
      <c r="D4" s="50" t="inlineStr">
        <is>
          <t>TOFU</t>
        </is>
      </c>
      <c r="E4" s="50" t="inlineStr">
        <is>
          <t>Chị Lan - Mẹ bỉm sữa quan tâm sức khỏe gia đình</t>
        </is>
      </c>
      <c r="F4" s="50" t="inlineStr">
        <is>
          <t>nông trại rau organic Đà Lạt, tham quan nông trại</t>
        </is>
      </c>
      <c r="G4" s="50" t="inlineStr">
        <is>
          <t>Chân thực, ấm áp, có tính kể chuyện</t>
        </is>
      </c>
      <c r="H4" s="50" t="inlineStr">
        <is>
          <t>Video 4-6 phút</t>
        </is>
      </c>
      <c r="I4" s="50" t="inlineStr">
        <is>
          <t>Hành trình đến nông trại -&gt; Quy trình canh tác hữu cơ -&gt; Gặp gỡ người nông dân</t>
        </is>
      </c>
      <c r="J4" s="50" t="inlineStr">
        <is>
          <t>Theo dõi để xem tập tiếp theo</t>
        </is>
      </c>
      <c r="K4" s="50" t="inlineStr">
        <is>
          <t>Facebook</t>
        </is>
      </c>
      <c r="L4" s="50" t="inlineStr">
        <is>
          <t>Tuần 3</t>
        </is>
      </c>
      <c r="M4" s="51" t="n">
        <v>46279</v>
      </c>
      <c r="N4" s="51" t="n">
        <v>46277</v>
      </c>
      <c r="O4" s="50" t="inlineStr">
        <is>
          <t>Writer A</t>
        </is>
      </c>
      <c r="P4" s="50" t="inlineStr">
        <is>
          <t>Published</t>
        </is>
      </c>
      <c r="Q4" s="50" t="inlineStr">
        <is>
          <t>Engagement rate &gt; 5%; Returning visitor +; Watch time</t>
        </is>
      </c>
    </row>
    <row r="5">
      <c r="A5" s="50" t="inlineStr">
        <is>
          <t>3-02</t>
        </is>
      </c>
      <c r="B5" s="50" t="inlineStr">
        <is>
          <t>Người nông dân đứng sau lô rau của bạn</t>
        </is>
      </c>
      <c r="C5" s="42" t="inlineStr">
        <is>
          <t>Hub</t>
        </is>
      </c>
      <c r="D5" s="50" t="inlineStr">
        <is>
          <t>MOFU</t>
        </is>
      </c>
      <c r="E5" s="50" t="inlineStr">
        <is>
          <t>Chị Lan - Mẹ bỉm sữa quan tâm sức khỏe gia đình</t>
        </is>
      </c>
      <c r="F5" s="50" t="inlineStr">
        <is>
          <t>câu chuyện nông dân, người trồng rau hữu cơ</t>
        </is>
      </c>
      <c r="G5" s="50" t="inlineStr">
        <is>
          <t>Cảm xúc, chân thành, tôn trọng người lao động</t>
        </is>
      </c>
      <c r="H5" s="50" t="inlineStr">
        <is>
          <t>600-800 từ + ảnh chân dung</t>
        </is>
      </c>
      <c r="I5" s="50" t="inlineStr">
        <is>
          <t>Chân dung 1 nông dân cụ thể -&gt; Câu chuyện gắn bó với nghề -&gt; Cam kết thu mua công bằng</t>
        </is>
      </c>
      <c r="J5" s="50" t="inlineStr">
        <is>
          <t>Đọc thêm câu chuyện nông trại khác</t>
        </is>
      </c>
      <c r="K5" s="50" t="inlineStr">
        <is>
          <t>Website</t>
        </is>
      </c>
      <c r="L5" s="50" t="inlineStr">
        <is>
          <t>Tuần 3</t>
        </is>
      </c>
      <c r="M5" s="51" t="n">
        <v>46280</v>
      </c>
      <c r="N5" s="51" t="n">
        <v>46278</v>
      </c>
      <c r="O5" s="50" t="inlineStr">
        <is>
          <t>Writer B</t>
        </is>
      </c>
      <c r="P5" s="50" t="inlineStr">
        <is>
          <t>Published</t>
        </is>
      </c>
      <c r="Q5" s="50" t="inlineStr">
        <is>
          <t>Engagement rate &gt; 5%; Returning visitor +; Watch time</t>
        </is>
      </c>
    </row>
    <row r="6">
      <c r="A6" s="50" t="inlineStr">
        <is>
          <t>3-03</t>
        </is>
      </c>
      <c r="B6" s="50" t="inlineStr">
        <is>
          <t>Quy trình thu hoạch - đóng gói trong 24h</t>
        </is>
      </c>
      <c r="C6" s="40" t="inlineStr">
        <is>
          <t>Hygiene</t>
        </is>
      </c>
      <c r="D6" s="50" t="inlineStr">
        <is>
          <t>MOFU</t>
        </is>
      </c>
      <c r="E6" s="50" t="inlineStr">
        <is>
          <t>Chị Lan - Mẹ bỉm sữa quan tâm sức khỏe gia đình</t>
        </is>
      </c>
      <c r="F6" s="50" t="inlineStr">
        <is>
          <t>quy trình đóng gói rau sạch, rau giao trong ngày</t>
        </is>
      </c>
      <c r="G6" s="50" t="inlineStr">
        <is>
          <t>Chuyên nghiệp, minh bạch</t>
        </is>
      </c>
      <c r="H6" s="50" t="inlineStr">
        <is>
          <t>500-600 từ</t>
        </is>
      </c>
      <c r="I6" s="50" t="inlineStr">
        <is>
          <t>Timeline từ thu hoạch đến giao hàng -&gt; Tiêu chuẩn đóng gói giữ tươi -&gt; Cam kết giao trong 24h</t>
        </is>
      </c>
      <c r="J6" s="50" t="inlineStr">
        <is>
          <t>Đặt hàng để nhận rau tươi trong ngày</t>
        </is>
      </c>
      <c r="K6" s="50" t="inlineStr">
        <is>
          <t>Website</t>
        </is>
      </c>
      <c r="L6" s="50" t="inlineStr">
        <is>
          <t>Tuần 3</t>
        </is>
      </c>
      <c r="M6" s="51" t="n">
        <v>46281</v>
      </c>
      <c r="N6" s="51" t="n">
        <v>46279</v>
      </c>
      <c r="O6" s="50" t="inlineStr">
        <is>
          <t>Designer C</t>
        </is>
      </c>
      <c r="P6" s="50" t="inlineStr">
        <is>
          <t>Published</t>
        </is>
      </c>
      <c r="Q6" s="50" t="inlineStr">
        <is>
          <t>Organic traffic; Time on page &gt; 1'30"; Giảm câu hỏi CSKH</t>
        </is>
      </c>
    </row>
    <row r="7">
      <c r="A7" s="50" t="inlineStr">
        <is>
          <t>3-04</t>
        </is>
      </c>
      <c r="B7" s="50" t="inlineStr">
        <is>
          <t>Một ngày làm nông dân cùng Xanh Garden (Trải nghiệm KOL)</t>
        </is>
      </c>
      <c r="C7" s="43" t="inlineStr">
        <is>
          <t>Hero</t>
        </is>
      </c>
      <c r="D7" s="50" t="inlineStr">
        <is>
          <t>TOFU</t>
        </is>
      </c>
      <c r="E7" s="50" t="inlineStr">
        <is>
          <t>Chị Lan - Mẹ bỉm sữa quan tâm sức khỏe gia đình</t>
        </is>
      </c>
      <c r="F7" s="50" t="inlineStr">
        <is>
          <t>trải nghiệm nông trại, KOL trải nghiệm nông nghiệp hữu cơ</t>
        </is>
      </c>
      <c r="G7" s="50" t="inlineStr">
        <is>
          <t>Thú vị, chân thực, lan tỏa cảm hứng</t>
        </is>
      </c>
      <c r="H7" s="50" t="inlineStr">
        <is>
          <t>Video 7-10 phút, đầu tư sản xuất cao, hợp tác KOL</t>
        </is>
      </c>
      <c r="I7" s="50" t="inlineStr">
        <is>
          <t>KOL trải nghiệm trồng/thu hoạch rau -&gt; Cảm nhận thật về quy trình hữu cơ -&gt; Giới thiệu chiến dịch Trung Thu Xanh Garden</t>
        </is>
      </c>
      <c r="J7" s="50" t="inlineStr">
        <is>
          <t>Tham gia minigame nhận combo rau miễn phí</t>
        </is>
      </c>
      <c r="K7" s="50" t="inlineStr">
        <is>
          <t>TikTok</t>
        </is>
      </c>
      <c r="L7" s="50" t="inlineStr">
        <is>
          <t>Tuần 3</t>
        </is>
      </c>
      <c r="M7" s="51" t="n">
        <v>46282</v>
      </c>
      <c r="N7" s="51" t="n">
        <v>46280</v>
      </c>
      <c r="O7" s="50" t="inlineStr">
        <is>
          <t>Writer A</t>
        </is>
      </c>
      <c r="P7" s="50" t="inlineStr">
        <is>
          <t>Approved</t>
        </is>
      </c>
      <c r="Q7" s="50" t="inlineStr">
        <is>
          <t>Reach &gt; 50,000; Brand Lift +10%; Share of Voice</t>
        </is>
      </c>
    </row>
    <row r="8">
      <c r="A8" s="50" t="inlineStr">
        <is>
          <t>3-05</t>
        </is>
      </c>
      <c r="B8" s="50" t="inlineStr">
        <is>
          <t>Mùa nào rau nào? Lịch thu hoạch theo mùa vụ</t>
        </is>
      </c>
      <c r="C8" s="40" t="inlineStr">
        <is>
          <t>Hygiene</t>
        </is>
      </c>
      <c r="D8" s="50" t="inlineStr">
        <is>
          <t>TOFU</t>
        </is>
      </c>
      <c r="E8" s="50" t="inlineStr">
        <is>
          <t>Chị Lan - Mẹ bỉm sữa quan tâm sức khỏe gia đình</t>
        </is>
      </c>
      <c r="F8" s="50" t="inlineStr">
        <is>
          <t>rau theo mùa, lịch mùa vụ rau củ</t>
        </is>
      </c>
      <c r="G8" s="50" t="inlineStr">
        <is>
          <t>Hữu ích, giáo dục nhẹ nhàng</t>
        </is>
      </c>
      <c r="H8" s="50" t="inlineStr">
        <is>
          <t>500-600 từ + infographic</t>
        </is>
      </c>
      <c r="I8" s="50" t="inlineStr">
        <is>
          <t>Bảng mùa vụ các loại rau chính -&gt; Vì sao nên ăn rau theo mùa -&gt; Gợi ý combo theo mùa hiện tại</t>
        </is>
      </c>
      <c r="J8" s="50" t="inlineStr">
        <is>
          <t>Đặt combo rau đúng mùa tháng này</t>
        </is>
      </c>
      <c r="K8" s="50" t="inlineStr">
        <is>
          <t>Facebook</t>
        </is>
      </c>
      <c r="L8" s="50" t="inlineStr">
        <is>
          <t>Tuần 3</t>
        </is>
      </c>
      <c r="M8" s="51" t="n">
        <v>46283</v>
      </c>
      <c r="N8" s="51" t="n">
        <v>46281</v>
      </c>
      <c r="O8" s="50" t="inlineStr">
        <is>
          <t>Content Lead</t>
        </is>
      </c>
      <c r="P8" s="50" t="inlineStr">
        <is>
          <t>Approved</t>
        </is>
      </c>
      <c r="Q8" s="50" t="inlineStr">
        <is>
          <t>Organic traffic; Time on page &gt; 1'30"; Giảm câu hỏi CSKH</t>
        </is>
      </c>
    </row>
    <row r="9">
      <c r="A9" s="50" t="inlineStr">
        <is>
          <t>3-06</t>
        </is>
      </c>
      <c r="B9" s="50" t="inlineStr">
        <is>
          <t>Cam kết không hóa chất - Xanh Garden kiểm tra đất và nước ra sao?</t>
        </is>
      </c>
      <c r="C9" s="42" t="inlineStr">
        <is>
          <t>Hub</t>
        </is>
      </c>
      <c r="D9" s="50" t="inlineStr">
        <is>
          <t>MOFU</t>
        </is>
      </c>
      <c r="E9" s="50" t="inlineStr">
        <is>
          <t>Chị Lan - Mẹ bỉm sữa quan tâm sức khỏe gia đình</t>
        </is>
      </c>
      <c r="F9" s="50" t="inlineStr">
        <is>
          <t>kiểm tra đất trồng hữu cơ, quy trình kiểm định nông trại</t>
        </is>
      </c>
      <c r="G9" s="50" t="inlineStr">
        <is>
          <t>Chuyên môn, minh bạch, tạo niềm tin</t>
        </is>
      </c>
      <c r="H9" s="50" t="inlineStr">
        <is>
          <t>600-700 từ</t>
        </is>
      </c>
      <c r="I9" s="50" t="inlineStr">
        <is>
          <t>Quy trình kiểm tra đất/nước định kỳ -&gt; Đối tác kiểm định độc lập -&gt; Kết quả gần nhất</t>
        </is>
      </c>
      <c r="J9" s="50" t="inlineStr">
        <is>
          <t>Xem báo cáo kiểm định mới nhất</t>
        </is>
      </c>
      <c r="K9" s="50" t="inlineStr">
        <is>
          <t>Website</t>
        </is>
      </c>
      <c r="L9" s="50" t="inlineStr">
        <is>
          <t>Tuần 3</t>
        </is>
      </c>
      <c r="M9" s="51" t="n">
        <v>46284</v>
      </c>
      <c r="N9" s="51" t="n">
        <v>46282</v>
      </c>
      <c r="O9" s="50" t="inlineStr">
        <is>
          <t>Writer B</t>
        </is>
      </c>
      <c r="P9" s="50" t="inlineStr">
        <is>
          <t>Draft</t>
        </is>
      </c>
      <c r="Q9" s="50" t="inlineStr">
        <is>
          <t>Engagement rate &gt; 5%; Returning visitor +; Watch time</t>
        </is>
      </c>
    </row>
    <row r="10">
      <c r="A10" s="50" t="inlineStr">
        <is>
          <t>3-07</t>
        </is>
      </c>
      <c r="B10" s="50" t="inlineStr">
        <is>
          <t>Video ngắn: Bình minh trên nông trại hữu cơ</t>
        </is>
      </c>
      <c r="C10" s="40" t="inlineStr">
        <is>
          <t>Hygiene</t>
        </is>
      </c>
      <c r="D10" s="50" t="inlineStr">
        <is>
          <t>TOFU</t>
        </is>
      </c>
      <c r="E10" s="50" t="inlineStr">
        <is>
          <t>Chị Lan - Mẹ bỉm sữa quan tâm sức khỏe gia đình</t>
        </is>
      </c>
      <c r="F10" s="50" t="inlineStr">
        <is>
          <t>nông trại hữu cơ, video thư giãn nông trại</t>
        </is>
      </c>
      <c r="G10" s="50" t="inlineStr">
        <is>
          <t>Nhẹ nhàng, thư giãn, aesthetic</t>
        </is>
      </c>
      <c r="H10" s="50" t="inlineStr">
        <is>
          <t>Video ngắn 15-30s</t>
        </is>
      </c>
      <c r="I10" s="50" t="inlineStr">
        <is>
          <t>Cảnh bình minh + thu hoạch sớm -&gt; Nhạc nền nhẹ nhàng -&gt; Caption ngắn gợi cảm xúc trong lành</t>
        </is>
      </c>
      <c r="J10" s="50" t="inlineStr">
        <is>
          <t>Lưu video để xem lại lúc căng thẳng</t>
        </is>
      </c>
      <c r="K10" s="50" t="inlineStr">
        <is>
          <t>TikTok</t>
        </is>
      </c>
      <c r="L10" s="50" t="inlineStr">
        <is>
          <t>Tuần 3</t>
        </is>
      </c>
      <c r="M10" s="51" t="n">
        <v>46285</v>
      </c>
      <c r="N10" s="51" t="n">
        <v>46283</v>
      </c>
      <c r="O10" s="50" t="inlineStr">
        <is>
          <t>Designer C</t>
        </is>
      </c>
      <c r="P10" s="50" t="inlineStr">
        <is>
          <t>Draft</t>
        </is>
      </c>
      <c r="Q10" s="50" t="inlineStr">
        <is>
          <t>Organic traffic; Time on page &gt; 1'30"; Giảm câu hỏi CSKH</t>
        </is>
      </c>
    </row>
  </sheetData>
  <mergeCells count="2">
    <mergeCell ref="A2:Q2"/>
    <mergeCell ref="A1:Q1"/>
  </mergeCells>
  <conditionalFormatting sqref="P4:P10">
    <cfRule type="cellIs" priority="1" operator="equal" dxfId="1">
      <formula>"Published"</formula>
    </cfRule>
    <cfRule type="cellIs" priority="2" operator="equal" dxfId="2">
      <formula>"Draft"</formula>
    </cfRule>
    <cfRule type="cellIs" priority="3" operator="equal" dxfId="3">
      <formula>"Approved"</formula>
    </cfRule>
    <cfRule type="cellIs" priority="4" operator="equal" dxfId="4">
      <formula>"Review"</formula>
    </cfRule>
  </conditionalFormatting>
  <dataValidations count="4">
    <dataValidation sqref="C4:C10" showDropDown="0" showInputMessage="0" showErrorMessage="0" allowBlank="0" type="list">
      <formula1>"Hero,Hub,Hygiene"</formula1>
    </dataValidation>
    <dataValidation sqref="K4:K10" showDropDown="0" showInputMessage="0" showErrorMessage="0" allowBlank="0" type="list">
      <formula1>"Facebook,Zalo OA,Website,TikTok,Email"</formula1>
    </dataValidation>
    <dataValidation sqref="P4:P10" showDropDown="0" showInputMessage="0" showErrorMessage="0" allowBlank="0" type="list">
      <formula1>"Draft,Review,Approved,Published"</formula1>
    </dataValidation>
    <dataValidation sqref="D4:D10" showDropDown="0" showInputMessage="0" showErrorMessage="0" allowBlank="0" type="list">
      <formula1>"TOFU,MOFU,BOFU"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4" customWidth="1" min="4" max="4"/>
    <col width="26" customWidth="1" min="5" max="5"/>
    <col width="26" customWidth="1" min="6" max="6"/>
    <col width="26" customWidth="1" min="7" max="7"/>
    <col width="20" customWidth="1" min="8" max="8"/>
    <col width="40" customWidth="1" min="9" max="9"/>
    <col width="26" customWidth="1" min="10" max="10"/>
    <col width="12" customWidth="1" min="11" max="11"/>
    <col width="10" customWidth="1" min="12" max="12"/>
    <col width="12" customWidth="1" min="13" max="13"/>
    <col width="12" customWidth="1" min="14" max="14"/>
    <col width="16" customWidth="1" min="15" max="15"/>
    <col width="12" customWidth="1" min="16" max="16"/>
    <col width="22" customWidth="1" min="17" max="17"/>
  </cols>
  <sheetData>
    <row r="1" ht="28" customHeight="1">
      <c r="A1" s="52" t="inlineStr">
        <is>
          <t>PILLAR 4: Sản phẩm &amp; Ưu đãi Xanh Garden</t>
        </is>
      </c>
    </row>
    <row r="2" ht="18" customHeight="1">
      <c r="A2" s="37" t="inlineStr">
        <is>
          <t>Persona: Chị Lan - Mẹ bỉm sữa quan tâm sức khỏe gia đình  |  Thương hiệu: Xanh Garden  |  Tháng: 9/2026  |  Pillar này đăng vào: Tuần 4</t>
        </is>
      </c>
    </row>
    <row r="3" ht="32" customHeight="1">
      <c r="A3" s="53" t="inlineStr">
        <is>
          <t>Mã Cluster</t>
        </is>
      </c>
      <c r="B3" s="53" t="inlineStr">
        <is>
          <t>Tên bài/Chủ đề</t>
        </is>
      </c>
      <c r="C3" s="53" t="inlineStr">
        <is>
          <t>Loại 3H</t>
        </is>
      </c>
      <c r="D3" s="53" t="inlineStr">
        <is>
          <t>Mục tiêu phễu
(TOFU/MOFU/BOFU)</t>
        </is>
      </c>
      <c r="E3" s="53" t="inlineStr">
        <is>
          <t>Persona mục tiêu</t>
        </is>
      </c>
      <c r="F3" s="53" t="inlineStr">
        <is>
          <t>Từ khóa chính</t>
        </is>
      </c>
      <c r="G3" s="53" t="inlineStr">
        <is>
          <t>Tone giọng điệu</t>
        </is>
      </c>
      <c r="H3" s="53" t="inlineStr">
        <is>
          <t>Độ dài mong muốn</t>
        </is>
      </c>
      <c r="I3" s="53" t="inlineStr">
        <is>
          <t>Outline/Dàn ý chính</t>
        </is>
      </c>
      <c r="J3" s="53" t="inlineStr">
        <is>
          <t>CTA mong muốn</t>
        </is>
      </c>
      <c r="K3" s="53" t="inlineStr">
        <is>
          <t>Kênh đăng</t>
        </is>
      </c>
      <c r="L3" s="53" t="inlineStr">
        <is>
          <t>Tuần đăng</t>
        </is>
      </c>
      <c r="M3" s="53" t="inlineStr">
        <is>
          <t>Ngày đăng</t>
        </is>
      </c>
      <c r="N3" s="53" t="inlineStr">
        <is>
          <t>Deadline</t>
        </is>
      </c>
      <c r="O3" s="53" t="inlineStr">
        <is>
          <t>Người phụ trách</t>
        </is>
      </c>
      <c r="P3" s="53" t="inlineStr">
        <is>
          <t>Trạng thái</t>
        </is>
      </c>
      <c r="Q3" s="53" t="inlineStr">
        <is>
          <t>KPI dự kiến</t>
        </is>
      </c>
    </row>
    <row r="4">
      <c r="A4" s="54" t="inlineStr">
        <is>
          <t>4-01</t>
        </is>
      </c>
      <c r="B4" s="54" t="inlineStr">
        <is>
          <t>Ra mắt combo Trung Thu: Rau củ quả biếu tặng cao cấp</t>
        </is>
      </c>
      <c r="C4" s="43" t="inlineStr">
        <is>
          <t>Hero</t>
        </is>
      </c>
      <c r="D4" s="54" t="inlineStr">
        <is>
          <t>MOFU</t>
        </is>
      </c>
      <c r="E4" s="54" t="inlineStr">
        <is>
          <t>Chị Lan - Mẹ bỉm sữa quan tâm sức khỏe gia đình</t>
        </is>
      </c>
      <c r="F4" s="54" t="inlineStr">
        <is>
          <t>combo rau củ Trung Thu, quà biếu Trung Thu sức khỏe</t>
        </is>
      </c>
      <c r="G4" s="54" t="inlineStr">
        <is>
          <t>Sang trọng, ấm áp, gắn với mùa vụ</t>
        </is>
      </c>
      <c r="H4" s="54" t="inlineStr">
        <is>
          <t>Chiến dịch đa kênh: video + bài viết + KOL</t>
        </is>
      </c>
      <c r="I4" s="54" t="inlineStr">
        <is>
          <t>Giới thiệu bộ combo Trung Thu -&gt; Thông điệp 'món quà sức khỏe' -&gt; Ưu đãi đặt trước</t>
        </is>
      </c>
      <c r="J4" s="54" t="inlineStr">
        <is>
          <t>Đặt combo Trung Thu ngay - ưu đãi 20% đặt sớm</t>
        </is>
      </c>
      <c r="K4" s="54" t="inlineStr">
        <is>
          <t>Facebook</t>
        </is>
      </c>
      <c r="L4" s="54" t="inlineStr">
        <is>
          <t>Tuần 4</t>
        </is>
      </c>
      <c r="M4" s="55" t="n">
        <v>46286</v>
      </c>
      <c r="N4" s="55" t="n">
        <v>46284</v>
      </c>
      <c r="O4" s="54" t="inlineStr">
        <is>
          <t>Writer A</t>
        </is>
      </c>
      <c r="P4" s="54" t="inlineStr">
        <is>
          <t>Published</t>
        </is>
      </c>
      <c r="Q4" s="54" t="inlineStr">
        <is>
          <t>Reach &gt; 50,000; Brand Lift +10%; Share of Voice</t>
        </is>
      </c>
    </row>
    <row r="5">
      <c r="A5" s="54" t="inlineStr">
        <is>
          <t>4-02</t>
        </is>
      </c>
      <c r="B5" s="54" t="inlineStr">
        <is>
          <t>So sánh chi phí: Mua rau Xanh Garden vs đi chợ truyền thống</t>
        </is>
      </c>
      <c r="C5" s="40" t="inlineStr">
        <is>
          <t>Hygiene</t>
        </is>
      </c>
      <c r="D5" s="54" t="inlineStr">
        <is>
          <t>MOFU</t>
        </is>
      </c>
      <c r="E5" s="54" t="inlineStr">
        <is>
          <t>Chị Lan - Mẹ bỉm sữa quan tâm sức khỏe gia đình</t>
        </is>
      </c>
      <c r="F5" s="54" t="inlineStr">
        <is>
          <t>chi phí mua rau online vs chợ, so sánh giá rau sạch</t>
        </is>
      </c>
      <c r="G5" s="54" t="inlineStr">
        <is>
          <t>Khách quan, có số liệu cụ thể</t>
        </is>
      </c>
      <c r="H5" s="54" t="inlineStr">
        <is>
          <t>600-800 từ + bảng so sánh</t>
        </is>
      </c>
      <c r="I5" s="54" t="inlineStr">
        <is>
          <t>Bảng so sánh giá theo từng loại rau -&gt; Chi phí ẩn khi đi chợ (thời gian, xăng xe) -&gt; Kết luận khách quan</t>
        </is>
      </c>
      <c r="J5" s="54" t="inlineStr">
        <is>
          <t>Tính thử chi phí tiết kiệm với Xanh Garden</t>
        </is>
      </c>
      <c r="K5" s="54" t="inlineStr">
        <is>
          <t>Website</t>
        </is>
      </c>
      <c r="L5" s="54" t="inlineStr">
        <is>
          <t>Tuần 4</t>
        </is>
      </c>
      <c r="M5" s="55" t="n">
        <v>46287</v>
      </c>
      <c r="N5" s="55" t="n">
        <v>46285</v>
      </c>
      <c r="O5" s="54" t="inlineStr">
        <is>
          <t>Writer B</t>
        </is>
      </c>
      <c r="P5" s="54" t="inlineStr">
        <is>
          <t>Published</t>
        </is>
      </c>
      <c r="Q5" s="54" t="inlineStr">
        <is>
          <t>Organic traffic; Time on page &gt; 1'30"; Giảm câu hỏi CSKH</t>
        </is>
      </c>
    </row>
    <row r="6">
      <c r="A6" s="54" t="inlineStr">
        <is>
          <t>4-03</t>
        </is>
      </c>
      <c r="B6" s="54" t="inlineStr">
        <is>
          <t>Đánh giá từ khách hàng thật: 3 tháng dùng Xanh Garden</t>
        </is>
      </c>
      <c r="C6" s="42" t="inlineStr">
        <is>
          <t>Hub</t>
        </is>
      </c>
      <c r="D6" s="54" t="inlineStr">
        <is>
          <t>BOFU</t>
        </is>
      </c>
      <c r="E6" s="54" t="inlineStr">
        <is>
          <t>Chị Lan - Mẹ bỉm sữa quan tâm sức khỏe gia đình</t>
        </is>
      </c>
      <c r="F6" s="54" t="inlineStr">
        <is>
          <t>review Xanh Garden, đánh giá khách hàng rau sạch</t>
        </is>
      </c>
      <c r="G6" s="54" t="inlineStr">
        <is>
          <t>Chân thực, không seeding, có hình ảnh thật</t>
        </is>
      </c>
      <c r="H6" s="54" t="inlineStr">
        <is>
          <t>500-700 từ + testimonial video ngắn</t>
        </is>
      </c>
      <c r="I6" s="54" t="inlineStr">
        <is>
          <t>Phỏng vấn 3 khách hàng thân thiết -&gt; Trải nghiệm thực tế trước/sau -&gt; Lý do tiếp tục sử dụng</t>
        </is>
      </c>
      <c r="J6" s="54" t="inlineStr">
        <is>
          <t>Đăng ký trải nghiệm 7 ngày đầu ưu đãi</t>
        </is>
      </c>
      <c r="K6" s="54" t="inlineStr">
        <is>
          <t>Facebook</t>
        </is>
      </c>
      <c r="L6" s="54" t="inlineStr">
        <is>
          <t>Tuần 4</t>
        </is>
      </c>
      <c r="M6" s="55" t="n">
        <v>46288</v>
      </c>
      <c r="N6" s="55" t="n">
        <v>46286</v>
      </c>
      <c r="O6" s="54" t="inlineStr">
        <is>
          <t>Designer C</t>
        </is>
      </c>
      <c r="P6" s="54" t="inlineStr">
        <is>
          <t>Approved</t>
        </is>
      </c>
      <c r="Q6" s="54" t="inlineStr">
        <is>
          <t>Engagement rate &gt; 5%; Returning visitor +; Watch time</t>
        </is>
      </c>
    </row>
    <row r="7">
      <c r="A7" s="54" t="inlineStr">
        <is>
          <t>4-04</t>
        </is>
      </c>
      <c r="B7" s="54" t="inlineStr">
        <is>
          <t>Chính sách đổi trả trong 30 phút - Cam kết của Xanh Garden</t>
        </is>
      </c>
      <c r="C7" s="40" t="inlineStr">
        <is>
          <t>Hygiene</t>
        </is>
      </c>
      <c r="D7" s="54" t="inlineStr">
        <is>
          <t>BOFU</t>
        </is>
      </c>
      <c r="E7" s="54" t="inlineStr">
        <is>
          <t>Chị Lan - Mẹ bỉm sữa quan tâm sức khỏe gia đình</t>
        </is>
      </c>
      <c r="F7" s="54" t="inlineStr">
        <is>
          <t>chính sách đổi trả rau, đổi trả nhanh 30 phút</t>
        </is>
      </c>
      <c r="G7" s="54" t="inlineStr">
        <is>
          <t>Rõ ràng, đáng tin cậy, giảm lo lắng khi mua online</t>
        </is>
      </c>
      <c r="H7" s="54" t="inlineStr">
        <is>
          <t>400-500 từ</t>
        </is>
      </c>
      <c r="I7" s="54" t="inlineStr">
        <is>
          <t>Quy trình đổi trả 3 bước -&gt; Trường hợp được áp dụng -&gt; Hotline ưu tiên khung giờ nấu ăn 17h-19h</t>
        </is>
      </c>
      <c r="J7" s="54" t="inlineStr">
        <is>
          <t>Lưu số hotline CSKH ưu tiên</t>
        </is>
      </c>
      <c r="K7" s="54" t="inlineStr">
        <is>
          <t>Zalo OA</t>
        </is>
      </c>
      <c r="L7" s="54" t="inlineStr">
        <is>
          <t>Tuần 4</t>
        </is>
      </c>
      <c r="M7" s="55" t="n">
        <v>46289</v>
      </c>
      <c r="N7" s="55" t="n">
        <v>46287</v>
      </c>
      <c r="O7" s="54" t="inlineStr">
        <is>
          <t>Writer A</t>
        </is>
      </c>
      <c r="P7" s="54" t="inlineStr">
        <is>
          <t>Approved</t>
        </is>
      </c>
      <c r="Q7" s="54" t="inlineStr">
        <is>
          <t>Organic traffic; Time on page &gt; 1'30"; Giảm câu hỏi CSKH</t>
        </is>
      </c>
    </row>
    <row r="8">
      <c r="A8" s="54" t="inlineStr">
        <is>
          <t>4-05</t>
        </is>
      </c>
      <c r="B8" s="54" t="inlineStr">
        <is>
          <t>Ưu đãi thành viên tháng: Tích điểm đổi combo miễn phí</t>
        </is>
      </c>
      <c r="C8" s="42" t="inlineStr">
        <is>
          <t>Hub</t>
        </is>
      </c>
      <c r="D8" s="54" t="inlineStr">
        <is>
          <t>BOFU</t>
        </is>
      </c>
      <c r="E8" s="54" t="inlineStr">
        <is>
          <t>Chị Lan - Mẹ bỉm sữa quan tâm sức khỏe gia đình</t>
        </is>
      </c>
      <c r="F8" s="54" t="inlineStr">
        <is>
          <t>chương trình thành viên Xanh Garden, tích điểm đổi quà</t>
        </is>
      </c>
      <c r="G8" s="54" t="inlineStr">
        <is>
          <t>Hào hứng, tạo động lực mua lại</t>
        </is>
      </c>
      <c r="H8" s="54" t="inlineStr">
        <is>
          <t>400-600 từ</t>
        </is>
      </c>
      <c r="I8" s="54" t="inlineStr">
        <is>
          <t>Giới thiệu cơ chế tích điểm -&gt; Bảng đổi điểm -&gt; Deadline ưu đãi trong tháng</t>
        </is>
      </c>
      <c r="J8" s="54" t="inlineStr">
        <is>
          <t>Kiểm tra điểm tích lũy của bạn ngay</t>
        </is>
      </c>
      <c r="K8" s="54" t="inlineStr">
        <is>
          <t>Zalo OA</t>
        </is>
      </c>
      <c r="L8" s="54" t="inlineStr">
        <is>
          <t>Tuần 4</t>
        </is>
      </c>
      <c r="M8" s="55" t="n">
        <v>46290</v>
      </c>
      <c r="N8" s="55" t="n">
        <v>46288</v>
      </c>
      <c r="O8" s="54" t="inlineStr">
        <is>
          <t>Content Lead</t>
        </is>
      </c>
      <c r="P8" s="54" t="inlineStr">
        <is>
          <t>Draft</t>
        </is>
      </c>
      <c r="Q8" s="54" t="inlineStr">
        <is>
          <t>Engagement rate &gt; 5%; Returning visitor +; Watch time</t>
        </is>
      </c>
    </row>
    <row r="9">
      <c r="A9" s="54" t="inlineStr">
        <is>
          <t>4-06</t>
        </is>
      </c>
      <c r="B9" s="54" t="inlineStr">
        <is>
          <t>Hậu trường: Vì sao giá rau Xanh Garden như hiện tại?</t>
        </is>
      </c>
      <c r="C9" s="40" t="inlineStr">
        <is>
          <t>Hygiene</t>
        </is>
      </c>
      <c r="D9" s="54" t="inlineStr">
        <is>
          <t>MOFU</t>
        </is>
      </c>
      <c r="E9" s="54" t="inlineStr">
        <is>
          <t>Chị Lan - Mẹ bỉm sữa quan tâm sức khỏe gia đình</t>
        </is>
      </c>
      <c r="F9" s="54" t="inlineStr">
        <is>
          <t>giá rau hữu cơ vì sao đắt, minh bạch giá thành</t>
        </is>
      </c>
      <c r="G9" s="54" t="inlineStr">
        <is>
          <t>Minh bạch, thẳng thắn, xây dựng niềm tin</t>
        </is>
      </c>
      <c r="H9" s="54" t="inlineStr">
        <is>
          <t>500-600 từ</t>
        </is>
      </c>
      <c r="I9" s="54" t="inlineStr">
        <is>
          <t>Phân tích cấu thành chi phí -&gt; So sánh với rau không rõ nguồn gốc -&gt; Cam kết giá trị nhận được</t>
        </is>
      </c>
      <c r="J9" s="54" t="inlineStr">
        <is>
          <t>Đặt hàng để tự trải nghiệm giá trị</t>
        </is>
      </c>
      <c r="K9" s="54" t="inlineStr">
        <is>
          <t>Website</t>
        </is>
      </c>
      <c r="L9" s="54" t="inlineStr">
        <is>
          <t>Tuần 4</t>
        </is>
      </c>
      <c r="M9" s="55" t="n">
        <v>46291</v>
      </c>
      <c r="N9" s="55" t="n">
        <v>46289</v>
      </c>
      <c r="O9" s="54" t="inlineStr">
        <is>
          <t>Writer B</t>
        </is>
      </c>
      <c r="P9" s="54" t="inlineStr">
        <is>
          <t>Draft</t>
        </is>
      </c>
      <c r="Q9" s="54" t="inlineStr">
        <is>
          <t>Organic traffic; Time on page &gt; 1'30"; Giảm câu hỏi CSKH</t>
        </is>
      </c>
    </row>
    <row r="10">
      <c r="A10" s="54" t="inlineStr">
        <is>
          <t>4-07</t>
        </is>
      </c>
      <c r="B10" s="54" t="inlineStr">
        <is>
          <t>FAQ: Khu vực nào Xanh Garden giao hàng trong 2 giờ?</t>
        </is>
      </c>
      <c r="C10" s="40" t="inlineStr">
        <is>
          <t>Hygiene</t>
        </is>
      </c>
      <c r="D10" s="54" t="inlineStr">
        <is>
          <t>BOFU</t>
        </is>
      </c>
      <c r="E10" s="54" t="inlineStr">
        <is>
          <t>Chị Lan - Mẹ bỉm sữa quan tâm sức khỏe gia đình</t>
        </is>
      </c>
      <c r="F10" s="54" t="inlineStr">
        <is>
          <t>khu vực giao hàng Xanh Garden, giao rau trong 2 giờ</t>
        </is>
      </c>
      <c r="G10" s="54" t="inlineStr">
        <is>
          <t>Ngắn gọn, thực tế</t>
        </is>
      </c>
      <c r="H10" s="54" t="inlineStr">
        <is>
          <t>300 từ</t>
        </is>
      </c>
      <c r="I10" s="54" t="inlineStr">
        <is>
          <t>Bản đồ khu vực giao nhanh -&gt; Phí giao hàng theo khu vực -&gt; Link kiểm tra khu vực của bạn</t>
        </is>
      </c>
      <c r="J10" s="54" t="inlineStr">
        <is>
          <t>Kiểm tra khu vực giao hàng của bạn</t>
        </is>
      </c>
      <c r="K10" s="54" t="inlineStr">
        <is>
          <t>Website</t>
        </is>
      </c>
      <c r="L10" s="54" t="inlineStr">
        <is>
          <t>Tuần 4</t>
        </is>
      </c>
      <c r="M10" s="55" t="n">
        <v>46292</v>
      </c>
      <c r="N10" s="55" t="n">
        <v>46290</v>
      </c>
      <c r="O10" s="54" t="inlineStr">
        <is>
          <t>Designer C</t>
        </is>
      </c>
      <c r="P10" s="54" t="inlineStr">
        <is>
          <t>Draft</t>
        </is>
      </c>
      <c r="Q10" s="54" t="inlineStr">
        <is>
          <t>Organic traffic; Time on page &gt; 1'30"; Giảm câu hỏi CSKH</t>
        </is>
      </c>
    </row>
  </sheetData>
  <mergeCells count="2">
    <mergeCell ref="A2:Q2"/>
    <mergeCell ref="A1:Q1"/>
  </mergeCells>
  <conditionalFormatting sqref="P4:P10">
    <cfRule type="cellIs" priority="1" operator="equal" dxfId="1">
      <formula>"Published"</formula>
    </cfRule>
    <cfRule type="cellIs" priority="2" operator="equal" dxfId="2">
      <formula>"Draft"</formula>
    </cfRule>
    <cfRule type="cellIs" priority="3" operator="equal" dxfId="3">
      <formula>"Approved"</formula>
    </cfRule>
    <cfRule type="cellIs" priority="4" operator="equal" dxfId="4">
      <formula>"Review"</formula>
    </cfRule>
  </conditionalFormatting>
  <dataValidations count="4">
    <dataValidation sqref="C4:C10" showDropDown="0" showInputMessage="0" showErrorMessage="0" allowBlank="0" type="list">
      <formula1>"Hero,Hub,Hygiene"</formula1>
    </dataValidation>
    <dataValidation sqref="K4:K10" showDropDown="0" showInputMessage="0" showErrorMessage="0" allowBlank="0" type="list">
      <formula1>"Facebook,Zalo OA,Website,TikTok,Email"</formula1>
    </dataValidation>
    <dataValidation sqref="P4:P10" showDropDown="0" showInputMessage="0" showErrorMessage="0" allowBlank="0" type="list">
      <formula1>"Draft,Review,Approved,Published"</formula1>
    </dataValidation>
    <dataValidation sqref="D4:D10" showDropDown="0" showInputMessage="0" showErrorMessage="0" allowBlank="0" type="list">
      <formula1>"TOFU,MOFU,BOFU"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2026-08-24T14:55:09Z</dcterms:created>
  <dcterms:modified xmlns:dcterms="http://purl.org/dc/terms/" xmlns:xsi="http://www.w3.org/2001/XMLSchema-instance" xsi:type="dcterms:W3CDTF">2026-08-24T14:55:09Z</dcterms:modified>
</cp:coreProperties>
</file>
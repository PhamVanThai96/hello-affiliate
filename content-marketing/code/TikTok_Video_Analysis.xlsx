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 Hướng dẫn sử dụng" sheetId="1" state="visible" r:id="rId1"/>
    <sheet xmlns:r="http://schemas.openxmlformats.org/officeDocument/2006/relationships" name="📋 Dữ liệu Video" sheetId="2" state="visible" r:id="rId2"/>
    <sheet xmlns:r="http://schemas.openxmlformats.org/officeDocument/2006/relationships" name="🎬 Phân tích Phân cảnh" sheetId="3" state="visible" r:id="rId3"/>
    <sheet xmlns:r="http://schemas.openxmlformats.org/officeDocument/2006/relationships" name="⭐ Bảng Điểm Tổng hợp" sheetId="4" state="visible" r:id="rId4"/>
    <sheet xmlns:r="http://schemas.openxmlformats.org/officeDocument/2006/relationships" name="📐 Thang điểm &amp; Trọng số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i val="1"/>
      <color rgb="00666666"/>
      <sz val="9"/>
    </font>
    <font>
      <name val="Calibri"/>
      <color rgb="001A237E"/>
      <sz val="10"/>
    </font>
    <font>
      <name val="Calibri"/>
      <i val="1"/>
      <color rgb="00000000"/>
      <sz val="9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sz val="9"/>
    </font>
    <font>
      <name val="Calibri"/>
      <i val="1"/>
      <color rgb="001A237E"/>
      <sz val="9"/>
    </font>
    <font>
      <name val="Calibri"/>
      <b val="1"/>
      <color rgb="00FFFFFF"/>
      <sz val="8"/>
    </font>
    <font>
      <name val="Calibri"/>
      <sz val="8"/>
    </font>
    <font>
      <name val="Calibri"/>
      <b val="1"/>
      <i val="1"/>
      <color rgb="001A237E"/>
      <sz val="8"/>
    </font>
    <font>
      <name val="Calibri"/>
      <i val="1"/>
      <color rgb="001A237E"/>
      <sz val="8"/>
    </font>
    <font>
      <name val="Calibri"/>
      <b val="1"/>
      <color rgb="00FFFFFF"/>
      <sz val="13"/>
    </font>
  </fonts>
  <fills count="16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2E7D52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9C4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FF6F00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E53935"/>
      </patternFill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3" fillId="11" borderId="0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164" fontId="12" fillId="5" borderId="1" applyAlignment="1" pivotButton="0" quotePrefix="0" xfId="0">
      <alignment horizontal="center" vertical="center" wrapText="1"/>
    </xf>
    <xf numFmtId="2" fontId="12" fillId="5" borderId="1" applyAlignment="1" pivotButton="0" quotePrefix="0" xfId="0">
      <alignment horizontal="center" vertical="center" wrapText="1"/>
    </xf>
    <xf numFmtId="2" fontId="13" fillId="5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164" fontId="12" fillId="4" borderId="1" applyAlignment="1" pivotButton="0" quotePrefix="0" xfId="0">
      <alignment horizontal="center" vertical="center" wrapText="1"/>
    </xf>
    <xf numFmtId="2" fontId="12" fillId="4" borderId="1" applyAlignment="1" pivotButton="0" quotePrefix="0" xfId="0">
      <alignment horizontal="center" vertical="center" wrapText="1"/>
    </xf>
    <xf numFmtId="2" fontId="13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4" borderId="1" pivotButton="0" quotePrefix="0" xfId="0"/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14" fillId="14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14" fillId="15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left" vertical="center" wrapText="1"/>
    </xf>
    <xf numFmtId="0" fontId="16" fillId="5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10" fillId="12" borderId="0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12" fillId="7" borderId="1" applyAlignment="1" pivotButton="0" quotePrefix="0" xfId="0">
      <alignment horizontal="left" vertical="center" wrapText="1"/>
    </xf>
    <xf numFmtId="0" fontId="10" fillId="13" borderId="0" applyAlignment="1" pivotButton="0" quotePrefix="0" xfId="0">
      <alignment horizontal="left" vertical="center" wrapText="1"/>
    </xf>
    <xf numFmtId="0" fontId="10" fillId="13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left" vertical="center" wrapText="1"/>
    </xf>
    <xf numFmtId="0" fontId="10" fillId="14" borderId="0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left" vertical="center" wrapText="1"/>
    </xf>
    <xf numFmtId="0" fontId="10" fillId="15" borderId="0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VideoData" displayName="VideoData" ref="A2:Y52" headerRowCount="1">
  <autoFilter ref="A2:Y52"/>
  <tableColumns count="25">
    <tableColumn id="1" name="STT"/>
    <tableColumn id="2" name="Link Video"/>
    <tableColumn id="3" name="Ngày đăng"/>
    <tableColumn id="4" name="Nền tảng"/>
    <tableColumn id="5" name="Mùa / Dịp lễ"/>
    <tableColumn id="6" name="Loại quảng cáo"/>
    <tableColumn id="7" name="Thời lượng (s)"/>
    <tableColumn id="8" name="Sản phẩm"/>
    <tableColumn id="9" name="Thể loại nội dung"/>
    <tableColumn id="10" name="CTA chính"/>
    <tableColumn id="11" name="Lượt xem"/>
    <tableColumn id="12" name="Lượt thích"/>
    <tableColumn id="13" name="Bình luận"/>
    <tableColumn id="14" name="Lượt share"/>
    <tableColumn id="15" name="Lượt lưu"/>
    <tableColumn id="16" name="Xem hết"/>
    <tableColumn id="17" name="CTR Giỏ hàng(%)"/>
    <tableColumn id="18" name="Completion Rate(%)"/>
    <tableColumn id="19" name="ER (%)"/>
    <tableColumn id="20" name="Follow mới"/>
    <tableColumn id="21" name="Điểm trend (1-10)"/>
    <tableColumn id="22" name="Ghi chú trend"/>
    <tableColumn id="23" name="Điểm Nội dung"/>
    <tableColumn id="24" name="Điểm Tổng hợp"/>
    <tableColumn id="25" name="Xếp hạ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4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62" customWidth="1" min="3" max="3"/>
    <col width="24" customWidth="1" min="4" max="4"/>
    <col width="24" customWidth="1" min="5" max="5"/>
  </cols>
  <sheetData>
    <row r="1" ht="42" customHeight="1">
      <c r="B1" s="1" t="inlineStr">
        <is>
          <t>📊 KHUNG PHÂN TÍCH CONTENT VIDEO ĐA NỀN TẢNG: TIKTOK + FACEBOOK</t>
        </is>
      </c>
    </row>
    <row r="2" ht="32" customHeight="1">
      <c r="B2" s="2" t="inlineStr">
        <is>
          <t>Áp dụng cho TikTok, Facebook Reels, Facebook Feed Video, Facebook Watch, Instagram Reels và các biến thể short-form liên quan</t>
        </is>
      </c>
    </row>
    <row r="4" ht="24" customHeight="1">
      <c r="B4" s="3" t="inlineStr">
        <is>
          <t>🗂️  CÁC SHEET TRONG FILE</t>
        </is>
      </c>
    </row>
    <row r="5">
      <c r="B5" s="4" t="inlineStr">
        <is>
          <t>Sheet</t>
        </is>
      </c>
      <c r="C5" s="4" t="inlineStr">
        <is>
          <t>Mô tả</t>
        </is>
      </c>
      <c r="D5" s="4" t="inlineStr">
        <is>
          <t>Ghi chú</t>
        </is>
      </c>
    </row>
    <row r="6" ht="42" customHeight="1">
      <c r="B6" s="5" t="inlineStr">
        <is>
          <t>📖 Hướng dẫn sử dụng</t>
        </is>
      </c>
      <c r="C6" s="6" t="inlineStr">
        <is>
          <t>Giải thích khung đa nền tảng, nguồn dữ liệu và quy tắc chấm điểm</t>
        </is>
      </c>
      <c r="D6" s="7" t="inlineStr">
        <is>
          <t>Không chỉnh sửa</t>
        </is>
      </c>
    </row>
    <row r="7" ht="42" customHeight="1">
      <c r="B7" s="5" t="inlineStr">
        <is>
          <t>📋 Dữ liệu Video</t>
        </is>
      </c>
      <c r="C7" s="6" t="inlineStr">
        <is>
          <t>Nhập metadata, nền tảng và số liệu hiệu suất của từng video</t>
        </is>
      </c>
      <c r="D7" s="7" t="inlineStr">
        <is>
          <t>Sheet nhập liệu chính</t>
        </is>
      </c>
    </row>
    <row r="8" ht="42" customHeight="1">
      <c r="B8" s="5" t="inlineStr">
        <is>
          <t>🎬 Phân tích Phân cảnh</t>
        </is>
      </c>
      <c r="C8" s="6" t="inlineStr">
        <is>
          <t>Phân tích Hook / Thân / Kết cho từng video</t>
        </is>
      </c>
      <c r="D8" s="7" t="inlineStr">
        <is>
          <t>Nhập sau khi xem video</t>
        </is>
      </c>
    </row>
    <row r="9" ht="42" customHeight="1">
      <c r="B9" s="5" t="inlineStr">
        <is>
          <t>⭐ Bảng Điểm Tổng hợp</t>
        </is>
      </c>
      <c r="C9" s="6" t="inlineStr">
        <is>
          <t>Tổng hợp điểm và phục vụ so sánh chéo video</t>
        </is>
      </c>
      <c r="D9" s="7" t="inlineStr">
        <is>
          <t>Tự động tính</t>
        </is>
      </c>
    </row>
    <row r="10" ht="42" customHeight="1">
      <c r="B10" s="5" t="inlineStr">
        <is>
          <t>📐 Thang điểm &amp; Trọng số</t>
        </is>
      </c>
      <c r="C10" s="6" t="inlineStr">
        <is>
          <t>Giữ benchmark TikTok hiện có và bổ sung benchmark Facebook tham khảo</t>
        </is>
      </c>
      <c r="D10" s="7" t="inlineStr">
        <is>
          <t>Tham khảo khi chấm điểm</t>
        </is>
      </c>
    </row>
    <row r="12" ht="24" customHeight="1">
      <c r="B12" s="8" t="inlineStr">
        <is>
          <t>📌  NHÓM TIÊU CHÍ &amp; TRỌNG SỐ</t>
        </is>
      </c>
    </row>
    <row r="13">
      <c r="B13" s="4" t="inlineStr">
        <is>
          <t>Nhóm tiêu chí</t>
        </is>
      </c>
      <c r="C13" s="4" t="inlineStr">
        <is>
          <t>Mô tả</t>
        </is>
      </c>
      <c r="D13" s="4" t="inlineStr">
        <is>
          <t>Trọng số (%)</t>
        </is>
      </c>
    </row>
    <row r="14" ht="38" customHeight="1">
      <c r="B14" s="9" t="inlineStr">
        <is>
          <t>A. Thông tin định danh</t>
        </is>
      </c>
      <c r="C14" s="6" t="inlineStr">
        <is>
          <t>STT, link, ngày đăng, nền tảng, mùa lễ hội, loại quảng cáo</t>
        </is>
      </c>
      <c r="D14" s="10" t="inlineStr">
        <is>
          <t>—</t>
        </is>
      </c>
    </row>
    <row r="15" ht="38" customHeight="1">
      <c r="B15" s="9" t="inlineStr">
        <is>
          <t>B. Metadata Video</t>
        </is>
      </c>
      <c r="C15" s="6" t="inlineStr">
        <is>
          <t>Thời lượng, thể loại, sản phẩm, CTA, bối cảnh phân phối</t>
        </is>
      </c>
      <c r="D15" s="10" t="inlineStr">
        <is>
          <t>—</t>
        </is>
      </c>
    </row>
    <row r="16" ht="38" customHeight="1">
      <c r="B16" s="11" t="inlineStr">
        <is>
          <t>C. Chỉ số tương tác (Engagement)</t>
        </is>
      </c>
      <c r="C16" s="6" t="inlineStr">
        <is>
          <t>Views, likes/reactions, comments, shares, saves, completion/watch rate, CTR</t>
        </is>
      </c>
      <c r="D16" s="12" t="inlineStr">
        <is>
          <t>35%</t>
        </is>
      </c>
    </row>
    <row r="17" ht="38" customHeight="1">
      <c r="B17" s="13" t="inlineStr">
        <is>
          <t>D. Chỉ số tăng trưởng (Growth)</t>
        </is>
      </c>
      <c r="C17" s="6" t="inlineStr">
        <is>
          <t>Follow mới, điểm bắt trend</t>
        </is>
      </c>
      <c r="D17" s="12" t="inlineStr">
        <is>
          <t>10%</t>
        </is>
      </c>
    </row>
    <row r="18" ht="38" customHeight="1">
      <c r="B18" s="14" t="inlineStr">
        <is>
          <t>E. Chất lượng nội dung – Hook</t>
        </is>
      </c>
      <c r="C18" s="6" t="inlineStr">
        <is>
          <t>Giữ nguyên cấu trúc Hook; với Facebook có thể đánh giá trong 3–5 giây đầu</t>
        </is>
      </c>
      <c r="D18" s="12" t="inlineStr">
        <is>
          <t>25%</t>
        </is>
      </c>
    </row>
    <row r="19" ht="38" customHeight="1">
      <c r="B19" s="15" t="inlineStr">
        <is>
          <t>F. Chất lượng nội dung – Thân</t>
        </is>
      </c>
      <c r="C19" s="6" t="inlineStr">
        <is>
          <t>Luồng lập luận, bằng chứng, social proof, điểm gãy</t>
        </is>
      </c>
      <c r="D19" s="12" t="inlineStr">
        <is>
          <t>20%</t>
        </is>
      </c>
    </row>
    <row r="20" ht="38" customHeight="1">
      <c r="B20" s="9" t="inlineStr">
        <is>
          <t>G. Chất lượng nội dung – Kết/CTA</t>
        </is>
      </c>
      <c r="C20" s="6" t="inlineStr">
        <is>
          <t>Chốt thông điệp và lời kêu gọi hành động rõ ràng</t>
        </is>
      </c>
      <c r="D20" s="12" t="inlineStr">
        <is>
          <t>10%</t>
        </is>
      </c>
    </row>
    <row r="21" ht="38" customHeight="1">
      <c r="B21" s="5" t="inlineStr">
        <is>
          <t>H. Điểm tổng hợp (Composite)</t>
        </is>
      </c>
      <c r="C21" s="6" t="inlineStr">
        <is>
          <t>Giữ nguyên công thức hiện có để so sánh nhất quán</t>
        </is>
      </c>
      <c r="D21" s="12" t="inlineStr">
        <is>
          <t>100%</t>
        </is>
      </c>
    </row>
    <row r="23" ht="24" customHeight="1">
      <c r="B23" s="16" t="inlineStr">
        <is>
          <t>🔎  NGUỒN SỐ LIỆU THEO NỀN TẢNG</t>
        </is>
      </c>
    </row>
    <row r="24" ht="42" customHeight="1">
      <c r="B24" s="5" t="inlineStr">
        <is>
          <t>TikTok</t>
        </is>
      </c>
      <c r="C24" s="6" t="inlineStr">
        <is>
          <t>TikTok Studio / TikTok Creative Center / TikTok Shop Analytics</t>
        </is>
      </c>
      <c r="D24" s="7" t="inlineStr">
        <is>
          <t>Ưu tiên dùng Completion Rate, CTR giỏ/link, Saves</t>
        </is>
      </c>
    </row>
    <row r="25" ht="42" customHeight="1">
      <c r="B25" s="5" t="inlineStr">
        <is>
          <t>Facebook</t>
        </is>
      </c>
      <c r="C25" s="6" t="inlineStr">
        <is>
          <t>Business Suite / Meta Ads Manager / Facebook Page Insights</t>
        </is>
      </c>
      <c r="D25" s="7" t="inlineStr">
        <is>
          <t>Đối chiếu ThruPlay, Average Watch Time, 3-second video views, Link CTR</t>
        </is>
      </c>
    </row>
    <row r="26" ht="42" customHeight="1">
      <c r="B26" s="5" t="inlineStr">
        <is>
          <t>Lưu ý</t>
        </is>
      </c>
      <c r="C26" s="6" t="inlineStr">
        <is>
          <t>Facebook có Reactions phân loại Love/Haha/Wow/Sad/Angry; TikTok không có</t>
        </is>
      </c>
      <c r="D26" s="7" t="inlineStr">
        <is>
          <t>Reactions chi tiết dùng để chẩn đoán cảm xúc, chưa cộng riêng vào composite</t>
        </is>
      </c>
    </row>
    <row r="28" ht="24" customHeight="1">
      <c r="B28" s="16" t="inlineStr">
        <is>
          <t>✍️  HƯỚNG DẪN NHẬP LIỆU</t>
        </is>
      </c>
    </row>
    <row r="29" ht="34" customHeight="1">
      <c r="B29" s="13" t="inlineStr">
        <is>
          <t>Bước 1</t>
        </is>
      </c>
      <c r="C29" s="6" t="inlineStr">
        <is>
          <t>Xem video và ghi lại URL/link, chọn đúng nền tảng tại sheet '📋 Dữ liệu Video'</t>
        </is>
      </c>
    </row>
    <row r="30" ht="34" customHeight="1">
      <c r="B30" s="13" t="inlineStr">
        <is>
          <t>Bước 2</t>
        </is>
      </c>
      <c r="C30" s="6" t="inlineStr">
        <is>
          <t>Điền metadata và chỉ số từ nguồn phù hợp: TikTok Studio/TikTok Creative Center hoặc Business Suite/Meta Ads Manager/Facebook Insights</t>
        </is>
      </c>
    </row>
    <row r="31" ht="34" customHeight="1">
      <c r="B31" s="13" t="inlineStr">
        <is>
          <t>Bước 3</t>
        </is>
      </c>
      <c r="C31" s="6" t="inlineStr">
        <is>
          <t>Với Facebook, quy đổi chỉ số tương đương trước khi nhập: ThruPlay hoặc watch rate dùng để tham chiếu Completion Rate; Link CTR dùng cho CTR</t>
        </is>
      </c>
    </row>
    <row r="32" ht="34" customHeight="1">
      <c r="B32" s="13" t="inlineStr">
        <is>
          <t>Bước 4</t>
        </is>
      </c>
      <c r="C32" s="6" t="inlineStr">
        <is>
          <t>Xem lại video, phân tích theo 3 giai đoạn Hook / Thân / Kết tại sheet '🎬 Phân tích Phân cảnh'</t>
        </is>
      </c>
    </row>
    <row r="33" ht="34" customHeight="1">
      <c r="B33" s="13" t="inlineStr">
        <is>
          <t>Bước 5</t>
        </is>
      </c>
      <c r="C33" s="6" t="inlineStr">
        <is>
          <t>Sheet '⭐ Bảng Điểm Tổng hợp' dùng cùng khung composite để so sánh chéo video</t>
        </is>
      </c>
    </row>
    <row r="34" ht="34" customHeight="1">
      <c r="B34" s="13" t="inlineStr">
        <is>
          <t>Mẹo</t>
        </is>
      </c>
      <c r="C34" s="6" t="inlineStr">
        <is>
          <t>Luôn lọc theo nền tảng trước khi so benchmark; benchmark Facebook trong file là ước lượng tham khảo theo thông lệ ngành</t>
        </is>
      </c>
    </row>
    <row r="36" ht="24" customHeight="1">
      <c r="B36" s="8" t="inlineStr">
        <is>
          <t>📐  CÔNG THỨC TÍNH ĐIỂM &amp; TƯƠNG QUAN</t>
        </is>
      </c>
    </row>
    <row r="37">
      <c r="B37" s="4" t="inlineStr">
        <is>
          <t>Công thức</t>
        </is>
      </c>
      <c r="C37" s="4" t="inlineStr">
        <is>
          <t>Cách tính</t>
        </is>
      </c>
      <c r="D37" s="4" t="inlineStr">
        <is>
          <t>Ngưỡng / Ghi chú</t>
        </is>
      </c>
    </row>
    <row r="38" ht="38" customHeight="1">
      <c r="B38" s="11" t="inlineStr">
        <is>
          <t>Engagement Rate (ER)</t>
        </is>
      </c>
      <c r="C38" s="17">
        <f> (Likes/Reaction + Comments + Shares + Saves) / Views × 100%</f>
        <v/>
      </c>
      <c r="D38" s="18" t="inlineStr">
        <is>
          <t>TikTok thường cao hơn Facebook; xem thêm benchmark riêng tại sheet '📐 Thang điểm &amp; Trọng số'</t>
        </is>
      </c>
    </row>
    <row r="39" ht="38" customHeight="1">
      <c r="B39" s="11" t="inlineStr">
        <is>
          <t>Completion / Watch Rate</t>
        </is>
      </c>
      <c r="C39" s="17">
        <f> Lượt xem hết hoặc chỉ số tương đương / Tổng lượt xem × 100%</f>
        <v/>
      </c>
      <c r="D39" s="18" t="inlineStr">
        <is>
          <t>Facebook có thể tham chiếu ThruPlay, Average Watch Time, 3-second video views tùy nguồn</t>
        </is>
      </c>
    </row>
    <row r="40" ht="38" customHeight="1">
      <c r="B40" s="11" t="inlineStr">
        <is>
          <t>CTR CTA / Giỏ hàng</t>
        </is>
      </c>
      <c r="C40" s="17">
        <f> Lượt nhấp CTA hoặc link / Tổng lượt xem × 100%</f>
        <v/>
      </c>
      <c r="D40" s="18" t="inlineStr">
        <is>
          <t>Dùng Link CTR hoặc outbound CTR nếu không có TikTok Shop</t>
        </is>
      </c>
    </row>
    <row r="41" ht="38" customHeight="1">
      <c r="B41" s="11" t="inlineStr">
        <is>
          <t>Điểm Nội dung</t>
        </is>
      </c>
      <c r="C41" s="17">
        <f> Hook×0.45 + Thân×0.35 + Kết×0.20</f>
        <v/>
      </c>
      <c r="D41" s="18" t="inlineStr">
        <is>
          <t>Giữ nguyên thang 1–10</t>
        </is>
      </c>
    </row>
    <row r="42" ht="38" customHeight="1">
      <c r="B42" s="11" t="inlineStr">
        <is>
          <t>Điểm Tổng (Composite)</t>
        </is>
      </c>
      <c r="C42" s="17">
        <f> ER×0.35 + CompRate×0.15 + CTR×0.15 + DiemNoiDung×0.25 + GrowthScore×0.10</f>
        <v/>
      </c>
      <c r="D42" s="18" t="inlineStr">
        <is>
          <t>Giữ nguyên cấu trúc TikTok để so sánh nhất quán</t>
        </is>
      </c>
    </row>
    <row r="43" ht="38" customHeight="1">
      <c r="B43" s="11" t="inlineStr">
        <is>
          <t>Hệ số tương quan Pearson</t>
        </is>
      </c>
      <c r="C43" s="17" t="inlineStr">
        <is>
          <t>Dùng =CORREL(range1, range2) để so sánh Hook, watch rate, CTR theo từng nền tảng hoặc giữa 2 nền tảng</t>
        </is>
      </c>
      <c r="D43" s="18" t="inlineStr">
        <is>
          <t>Nên lọc riêng TikTok và Facebook trước khi kết luận</t>
        </is>
      </c>
    </row>
  </sheetData>
  <mergeCells count="7">
    <mergeCell ref="B23:E23"/>
    <mergeCell ref="B1:E1"/>
    <mergeCell ref="B4:E4"/>
    <mergeCell ref="B12:E12"/>
    <mergeCell ref="B2:E2"/>
    <mergeCell ref="B28:E28"/>
    <mergeCell ref="B36:E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2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  <col width="13" customWidth="1" min="4" max="4"/>
    <col width="18" customWidth="1" min="5" max="5"/>
    <col width="16" customWidth="1" min="6" max="6"/>
    <col width="14" customWidth="1" min="7" max="7"/>
    <col width="25" customWidth="1" min="8" max="8"/>
    <col width="20" customWidth="1" min="9" max="9"/>
    <col width="20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6" customWidth="1" min="17" max="17"/>
    <col width="16" customWidth="1" min="18" max="18"/>
    <col width="14" customWidth="1" min="19" max="19"/>
    <col width="14" customWidth="1" min="20" max="20"/>
    <col width="16" customWidth="1" min="21" max="21"/>
    <col width="25" customWidth="1" min="22" max="22"/>
    <col width="16" customWidth="1" min="23" max="23"/>
    <col width="16" customWidth="1" min="24" max="24"/>
    <col width="12" customWidth="1" min="25" max="25"/>
  </cols>
  <sheetData>
    <row r="1" ht="22" customHeight="1">
      <c r="A1" s="19" t="inlineStr">
        <is>
          <t>A. THÔNG TIN ĐỊNH DANH</t>
        </is>
      </c>
      <c r="D1" s="20" t="inlineStr">
        <is>
          <t>B. METADATA VIDEO</t>
        </is>
      </c>
      <c r="K1" s="21" t="inlineStr">
        <is>
          <t>C. CHỈ SỐ TƯƠNG TÁC (ENGAGEMENT)</t>
        </is>
      </c>
      <c r="T1" s="22" t="inlineStr">
        <is>
          <t>D. TĂNG TRƯỞNG</t>
        </is>
      </c>
      <c r="W1" s="23" t="inlineStr">
        <is>
          <t>E. ĐIỂM TÍNH TOÁN</t>
        </is>
      </c>
    </row>
    <row r="2" ht="35" customHeight="1">
      <c r="A2" s="24" t="inlineStr">
        <is>
          <t>STT</t>
        </is>
      </c>
      <c r="B2" s="24" t="inlineStr">
        <is>
          <t>Link Video</t>
        </is>
      </c>
      <c r="C2" s="24" t="inlineStr">
        <is>
          <t>Ngày đăng</t>
        </is>
      </c>
      <c r="D2" s="25" t="inlineStr">
        <is>
          <t>Nền tảng</t>
        </is>
      </c>
      <c r="E2" s="25" t="inlineStr">
        <is>
          <t>Mùa / Dịp lễ</t>
        </is>
      </c>
      <c r="F2" s="25" t="inlineStr">
        <is>
          <t>Loại quảng cáo</t>
        </is>
      </c>
      <c r="G2" s="25" t="inlineStr">
        <is>
          <t>Thời lượng (s)</t>
        </is>
      </c>
      <c r="H2" s="25" t="inlineStr">
        <is>
          <t>Sản phẩm</t>
        </is>
      </c>
      <c r="I2" s="25" t="inlineStr">
        <is>
          <t>Thể loại nội dung</t>
        </is>
      </c>
      <c r="J2" s="25" t="inlineStr">
        <is>
          <t>CTA chính</t>
        </is>
      </c>
      <c r="K2" s="26" t="inlineStr">
        <is>
          <t>Lượt xem</t>
        </is>
      </c>
      <c r="L2" s="26" t="inlineStr">
        <is>
          <t>Lượt thích</t>
        </is>
      </c>
      <c r="M2" s="26" t="inlineStr">
        <is>
          <t>Bình luận</t>
        </is>
      </c>
      <c r="N2" s="26" t="inlineStr">
        <is>
          <t>Lượt share</t>
        </is>
      </c>
      <c r="O2" s="26" t="inlineStr">
        <is>
          <t>Lượt lưu</t>
        </is>
      </c>
      <c r="P2" s="26" t="inlineStr">
        <is>
          <t>Xem hết</t>
        </is>
      </c>
      <c r="Q2" s="26" t="inlineStr">
        <is>
          <t>CTR Giỏ hàng(%)</t>
        </is>
      </c>
      <c r="R2" s="26" t="inlineStr">
        <is>
          <t>Completion Rate(%)</t>
        </is>
      </c>
      <c r="S2" s="26" t="inlineStr">
        <is>
          <t>ER (%)</t>
        </is>
      </c>
      <c r="T2" s="27" t="inlineStr">
        <is>
          <t>Follow mới</t>
        </is>
      </c>
      <c r="U2" s="27" t="inlineStr">
        <is>
          <t>Điểm trend (1-10)</t>
        </is>
      </c>
      <c r="V2" s="27" t="inlineStr">
        <is>
          <t>Ghi chú trend</t>
        </is>
      </c>
      <c r="W2" s="28" t="inlineStr">
        <is>
          <t>Điểm Nội dung</t>
        </is>
      </c>
      <c r="X2" s="28" t="inlineStr">
        <is>
          <t>Điểm Tổng hợp</t>
        </is>
      </c>
      <c r="Y2" s="28" t="inlineStr">
        <is>
          <t>Xếp hạng</t>
        </is>
      </c>
    </row>
    <row r="3" ht="20" customHeight="1">
      <c r="A3" s="29" t="n">
        <v>1</v>
      </c>
      <c r="B3" s="30" t="inlineStr">
        <is>
          <t>https://tiktok.com/@channel/video/001</t>
        </is>
      </c>
      <c r="C3" s="31" t="inlineStr">
        <is>
          <t>2026-07-01</t>
        </is>
      </c>
      <c r="D3" s="29" t="inlineStr">
        <is>
          <t>TikTok</t>
        </is>
      </c>
      <c r="E3" s="29" t="inlineStr">
        <is>
          <t>Thường</t>
        </is>
      </c>
      <c r="F3" s="29" t="inlineStr">
        <is>
          <t>Organic</t>
        </is>
      </c>
      <c r="G3" s="29" t="n">
        <v>45</v>
      </c>
      <c r="H3" s="30" t="inlineStr">
        <is>
          <t>Green Protein Shake</t>
        </is>
      </c>
      <c r="I3" s="30" t="inlineStr">
        <is>
          <t>Demo sản phẩm</t>
        </is>
      </c>
      <c r="J3" s="30" t="inlineStr">
        <is>
          <t>Mua ngay link bio</t>
        </is>
      </c>
      <c r="K3" s="29" t="n">
        <v>150000</v>
      </c>
      <c r="L3" s="29" t="n">
        <v>8500</v>
      </c>
      <c r="M3" s="29" t="n">
        <v>320</v>
      </c>
      <c r="N3" s="29" t="n">
        <v>1200</v>
      </c>
      <c r="O3" s="29" t="n">
        <v>950</v>
      </c>
      <c r="P3" s="29" t="n">
        <v>75000</v>
      </c>
      <c r="Q3" s="32" t="n">
        <v>2.5</v>
      </c>
      <c r="R3" s="33">
        <f>IF(K3&gt;0,P3/K3*100,0)</f>
        <v/>
      </c>
      <c r="S3" s="33">
        <f>IF(K3&gt;0,(L3+M3+N3+O3)/K3*100,0)</f>
        <v/>
      </c>
      <c r="T3" s="29" t="n">
        <v>120</v>
      </c>
      <c r="U3" s="29" t="n">
        <v>7</v>
      </c>
      <c r="V3" s="30" t="inlineStr">
        <is>
          <t>Bắt trend nhạc viral</t>
        </is>
      </c>
      <c r="W3" s="29" t="n"/>
      <c r="X3" s="29" t="n"/>
      <c r="Y3" s="29" t="n"/>
    </row>
    <row r="4" ht="20" customHeight="1">
      <c r="A4" s="34" t="n">
        <v>2</v>
      </c>
      <c r="B4" s="35" t="inlineStr">
        <is>
          <t>https://facebook.com/example/reel/002</t>
        </is>
      </c>
      <c r="C4" s="36" t="inlineStr">
        <is>
          <t>2026-07-03</t>
        </is>
      </c>
      <c r="D4" s="34" t="inlineStr">
        <is>
          <t>Facebook Reels</t>
        </is>
      </c>
      <c r="E4" s="34" t="inlineStr">
        <is>
          <t>Thường</t>
        </is>
      </c>
      <c r="F4" s="34" t="inlineStr">
        <is>
          <t>Paid</t>
        </is>
      </c>
      <c r="G4" s="34" t="n">
        <v>60</v>
      </c>
      <c r="H4" s="35" t="inlineStr">
        <is>
          <t>Collagen Vegan</t>
        </is>
      </c>
      <c r="I4" s="35" t="inlineStr">
        <is>
          <t>Testimonial khách hàng</t>
        </is>
      </c>
      <c r="J4" s="35" t="inlineStr">
        <is>
          <t>Nhấn xem thêm / Link mua hàng</t>
        </is>
      </c>
      <c r="K4" s="34" t="n">
        <v>230000</v>
      </c>
      <c r="L4" s="34" t="n">
        <v>7200</v>
      </c>
      <c r="M4" s="34" t="n">
        <v>640</v>
      </c>
      <c r="N4" s="34" t="n">
        <v>980</v>
      </c>
      <c r="O4" s="34" t="n">
        <v>510</v>
      </c>
      <c r="P4" s="34" t="n">
        <v>69000</v>
      </c>
      <c r="Q4" s="37" t="n">
        <v>1.1</v>
      </c>
      <c r="R4" s="38">
        <f>IF(K4&gt;0,P4/K4*100,0)</f>
        <v/>
      </c>
      <c r="S4" s="38">
        <f>IF(K4&gt;0,(L4+M4+N4+O4)/K4*100,0)</f>
        <v/>
      </c>
      <c r="T4" s="34" t="n">
        <v>210</v>
      </c>
      <c r="U4" s="34" t="n">
        <v>6</v>
      </c>
      <c r="V4" s="35" t="inlineStr">
        <is>
          <t>Creative chạy paid ổn định trên Meta</t>
        </is>
      </c>
      <c r="W4" s="34" t="n"/>
      <c r="X4" s="34" t="n"/>
      <c r="Y4" s="34" t="n"/>
    </row>
    <row r="5" ht="20" customHeight="1">
      <c r="A5" s="29" t="n">
        <v>3</v>
      </c>
      <c r="B5" s="30" t="inlineStr">
        <is>
          <t>https://facebook.com/example/videos/003</t>
        </is>
      </c>
      <c r="C5" s="31" t="inlineStr">
        <is>
          <t>2026-07-05</t>
        </is>
      </c>
      <c r="D5" s="29" t="inlineStr">
        <is>
          <t>Facebook Feed Video</t>
        </is>
      </c>
      <c r="E5" s="29" t="inlineStr">
        <is>
          <t>Rằm tháng 7</t>
        </is>
      </c>
      <c r="F5" s="29" t="inlineStr">
        <is>
          <t>Organic</t>
        </is>
      </c>
      <c r="G5" s="29" t="n">
        <v>42</v>
      </c>
      <c r="H5" s="30" t="inlineStr">
        <is>
          <t>Omega-3 Vegan</t>
        </is>
      </c>
      <c r="I5" s="30" t="inlineStr">
        <is>
          <t>So sánh sản phẩm</t>
        </is>
      </c>
      <c r="J5" s="30" t="inlineStr">
        <is>
          <t>Nhắn tin nhận tư vấn</t>
        </is>
      </c>
      <c r="K5" s="29" t="n">
        <v>89000</v>
      </c>
      <c r="L5" s="29" t="n">
        <v>2400</v>
      </c>
      <c r="M5" s="29" t="n">
        <v>180</v>
      </c>
      <c r="N5" s="29" t="n">
        <v>210</v>
      </c>
      <c r="O5" s="29" t="n">
        <v>95</v>
      </c>
      <c r="P5" s="29" t="n">
        <v>18000</v>
      </c>
      <c r="Q5" s="32" t="n">
        <v>0.8</v>
      </c>
      <c r="R5" s="33">
        <f>IF(K5&gt;0,P5/K5*100,0)</f>
        <v/>
      </c>
      <c r="S5" s="33">
        <f>IF(K5&gt;0,(L5+M5+N5+O5)/K5*100,0)</f>
        <v/>
      </c>
      <c r="T5" s="29" t="n">
        <v>45</v>
      </c>
      <c r="U5" s="29" t="n">
        <v>4</v>
      </c>
      <c r="V5" s="30" t="inlineStr">
        <is>
          <t>Không dùng trend, tập trung educational angle</t>
        </is>
      </c>
      <c r="W5" s="29" t="n"/>
      <c r="X5" s="29" t="n"/>
      <c r="Y5" s="29" t="n"/>
    </row>
    <row r="6" ht="20" customHeight="1">
      <c r="A6" s="39" t="n"/>
      <c r="B6" s="39" t="n"/>
      <c r="C6" s="39" t="n"/>
      <c r="D6" s="39" t="n"/>
      <c r="E6" s="39" t="n"/>
      <c r="F6" s="39" t="n"/>
      <c r="G6" s="39" t="n"/>
      <c r="H6" s="39" t="n"/>
      <c r="I6" s="39" t="n"/>
      <c r="J6" s="39" t="n"/>
      <c r="K6" s="39" t="n"/>
      <c r="L6" s="39" t="n"/>
      <c r="M6" s="39" t="n"/>
      <c r="N6" s="39" t="n"/>
      <c r="O6" s="39" t="n"/>
      <c r="P6" s="39" t="n"/>
      <c r="Q6" s="39" t="n"/>
      <c r="R6" s="33">
        <f>IF(K6&gt;0,P6/K6*100,0)</f>
        <v/>
      </c>
      <c r="S6" s="33">
        <f>IF(K6&gt;0,(L6+M6+N6+O6)/K6*100,0)</f>
        <v/>
      </c>
      <c r="T6" s="39" t="n"/>
      <c r="U6" s="39" t="n"/>
      <c r="V6" s="39" t="n"/>
      <c r="W6" s="39" t="n"/>
      <c r="X6" s="39" t="n"/>
      <c r="Y6" s="39" t="n"/>
    </row>
    <row r="7" ht="20" customHeight="1">
      <c r="A7" s="40" t="n"/>
      <c r="B7" s="40" t="n"/>
      <c r="C7" s="40" t="n"/>
      <c r="D7" s="40" t="n"/>
      <c r="E7" s="40" t="n"/>
      <c r="F7" s="40" t="n"/>
      <c r="G7" s="40" t="n"/>
      <c r="H7" s="40" t="n"/>
      <c r="I7" s="40" t="n"/>
      <c r="J7" s="40" t="n"/>
      <c r="K7" s="40" t="n"/>
      <c r="L7" s="40" t="n"/>
      <c r="M7" s="40" t="n"/>
      <c r="N7" s="40" t="n"/>
      <c r="O7" s="40" t="n"/>
      <c r="P7" s="40" t="n"/>
      <c r="Q7" s="40" t="n"/>
      <c r="R7" s="38">
        <f>IF(K7&gt;0,P7/K7*100,0)</f>
        <v/>
      </c>
      <c r="S7" s="38">
        <f>IF(K7&gt;0,(L7+M7+N7+O7)/K7*100,0)</f>
        <v/>
      </c>
      <c r="T7" s="40" t="n"/>
      <c r="U7" s="40" t="n"/>
      <c r="V7" s="40" t="n"/>
      <c r="W7" s="40" t="n"/>
      <c r="X7" s="40" t="n"/>
      <c r="Y7" s="40" t="n"/>
    </row>
    <row r="8" ht="20" customHeight="1">
      <c r="A8" s="39" t="n"/>
      <c r="B8" s="39" t="n"/>
      <c r="C8" s="39" t="n"/>
      <c r="D8" s="39" t="n"/>
      <c r="E8" s="39" t="n"/>
      <c r="F8" s="39" t="n"/>
      <c r="G8" s="39" t="n"/>
      <c r="H8" s="39" t="n"/>
      <c r="I8" s="39" t="n"/>
      <c r="J8" s="39" t="n"/>
      <c r="K8" s="39" t="n"/>
      <c r="L8" s="39" t="n"/>
      <c r="M8" s="39" t="n"/>
      <c r="N8" s="39" t="n"/>
      <c r="O8" s="39" t="n"/>
      <c r="P8" s="39" t="n"/>
      <c r="Q8" s="39" t="n"/>
      <c r="R8" s="33">
        <f>IF(K8&gt;0,P8/K8*100,0)</f>
        <v/>
      </c>
      <c r="S8" s="33">
        <f>IF(K8&gt;0,(L8+M8+N8+O8)/K8*100,0)</f>
        <v/>
      </c>
      <c r="T8" s="39" t="n"/>
      <c r="U8" s="39" t="n"/>
      <c r="V8" s="39" t="n"/>
      <c r="W8" s="39" t="n"/>
      <c r="X8" s="39" t="n"/>
      <c r="Y8" s="39" t="n"/>
    </row>
    <row r="9" ht="20" customHeight="1">
      <c r="A9" s="40" t="n"/>
      <c r="B9" s="40" t="n"/>
      <c r="C9" s="40" t="n"/>
      <c r="D9" s="40" t="n"/>
      <c r="E9" s="40" t="n"/>
      <c r="F9" s="40" t="n"/>
      <c r="G9" s="40" t="n"/>
      <c r="H9" s="40" t="n"/>
      <c r="I9" s="40" t="n"/>
      <c r="J9" s="40" t="n"/>
      <c r="K9" s="40" t="n"/>
      <c r="L9" s="40" t="n"/>
      <c r="M9" s="40" t="n"/>
      <c r="N9" s="40" t="n"/>
      <c r="O9" s="40" t="n"/>
      <c r="P9" s="40" t="n"/>
      <c r="Q9" s="40" t="n"/>
      <c r="R9" s="38">
        <f>IF(K9&gt;0,P9/K9*100,0)</f>
        <v/>
      </c>
      <c r="S9" s="38">
        <f>IF(K9&gt;0,(L9+M9+N9+O9)/K9*100,0)</f>
        <v/>
      </c>
      <c r="T9" s="40" t="n"/>
      <c r="U9" s="40" t="n"/>
      <c r="V9" s="40" t="n"/>
      <c r="W9" s="40" t="n"/>
      <c r="X9" s="40" t="n"/>
      <c r="Y9" s="40" t="n"/>
    </row>
    <row r="10" ht="20" customHeight="1">
      <c r="A10" s="39" t="n"/>
      <c r="B10" s="39" t="n"/>
      <c r="C10" s="39" t="n"/>
      <c r="D10" s="39" t="n"/>
      <c r="E10" s="39" t="n"/>
      <c r="F10" s="39" t="n"/>
      <c r="G10" s="39" t="n"/>
      <c r="H10" s="39" t="n"/>
      <c r="I10" s="39" t="n"/>
      <c r="J10" s="39" t="n"/>
      <c r="K10" s="39" t="n"/>
      <c r="L10" s="39" t="n"/>
      <c r="M10" s="39" t="n"/>
      <c r="N10" s="39" t="n"/>
      <c r="O10" s="39" t="n"/>
      <c r="P10" s="39" t="n"/>
      <c r="Q10" s="39" t="n"/>
      <c r="R10" s="33">
        <f>IF(K10&gt;0,P10/K10*100,0)</f>
        <v/>
      </c>
      <c r="S10" s="33">
        <f>IF(K10&gt;0,(L10+M10+N10+O10)/K10*100,0)</f>
        <v/>
      </c>
      <c r="T10" s="39" t="n"/>
      <c r="U10" s="39" t="n"/>
      <c r="V10" s="39" t="n"/>
      <c r="W10" s="39" t="n"/>
      <c r="X10" s="39" t="n"/>
      <c r="Y10" s="39" t="n"/>
    </row>
    <row r="11" ht="20" customHeight="1">
      <c r="A11" s="40" t="n"/>
      <c r="B11" s="40" t="n"/>
      <c r="C11" s="40" t="n"/>
      <c r="D11" s="40" t="n"/>
      <c r="E11" s="40" t="n"/>
      <c r="F11" s="40" t="n"/>
      <c r="G11" s="40" t="n"/>
      <c r="H11" s="40" t="n"/>
      <c r="I11" s="40" t="n"/>
      <c r="J11" s="40" t="n"/>
      <c r="K11" s="40" t="n"/>
      <c r="L11" s="40" t="n"/>
      <c r="M11" s="40" t="n"/>
      <c r="N11" s="40" t="n"/>
      <c r="O11" s="40" t="n"/>
      <c r="P11" s="40" t="n"/>
      <c r="Q11" s="40" t="n"/>
      <c r="R11" s="38">
        <f>IF(K11&gt;0,P11/K11*100,0)</f>
        <v/>
      </c>
      <c r="S11" s="38">
        <f>IF(K11&gt;0,(L11+M11+N11+O11)/K11*100,0)</f>
        <v/>
      </c>
      <c r="T11" s="40" t="n"/>
      <c r="U11" s="40" t="n"/>
      <c r="V11" s="40" t="n"/>
      <c r="W11" s="40" t="n"/>
      <c r="X11" s="40" t="n"/>
      <c r="Y11" s="40" t="n"/>
    </row>
    <row r="12" ht="20" customHeight="1">
      <c r="A12" s="39" t="n"/>
      <c r="B12" s="39" t="n"/>
      <c r="C12" s="39" t="n"/>
      <c r="D12" s="39" t="n"/>
      <c r="E12" s="39" t="n"/>
      <c r="F12" s="39" t="n"/>
      <c r="G12" s="39" t="n"/>
      <c r="H12" s="39" t="n"/>
      <c r="I12" s="39" t="n"/>
      <c r="J12" s="39" t="n"/>
      <c r="K12" s="39" t="n"/>
      <c r="L12" s="39" t="n"/>
      <c r="M12" s="39" t="n"/>
      <c r="N12" s="39" t="n"/>
      <c r="O12" s="39" t="n"/>
      <c r="P12" s="39" t="n"/>
      <c r="Q12" s="39" t="n"/>
      <c r="R12" s="33">
        <f>IF(K12&gt;0,P12/K12*100,0)</f>
        <v/>
      </c>
      <c r="S12" s="33">
        <f>IF(K12&gt;0,(L12+M12+N12+O12)/K12*100,0)</f>
        <v/>
      </c>
      <c r="T12" s="39" t="n"/>
      <c r="U12" s="39" t="n"/>
      <c r="V12" s="39" t="n"/>
      <c r="W12" s="39" t="n"/>
      <c r="X12" s="39" t="n"/>
      <c r="Y12" s="39" t="n"/>
    </row>
    <row r="13" ht="20" customHeight="1">
      <c r="A13" s="40" t="n"/>
      <c r="B13" s="40" t="n"/>
      <c r="C13" s="40" t="n"/>
      <c r="D13" s="40" t="n"/>
      <c r="E13" s="40" t="n"/>
      <c r="F13" s="40" t="n"/>
      <c r="G13" s="40" t="n"/>
      <c r="H13" s="40" t="n"/>
      <c r="I13" s="40" t="n"/>
      <c r="J13" s="40" t="n"/>
      <c r="K13" s="40" t="n"/>
      <c r="L13" s="40" t="n"/>
      <c r="M13" s="40" t="n"/>
      <c r="N13" s="40" t="n"/>
      <c r="O13" s="40" t="n"/>
      <c r="P13" s="40" t="n"/>
      <c r="Q13" s="40" t="n"/>
      <c r="R13" s="38">
        <f>IF(K13&gt;0,P13/K13*100,0)</f>
        <v/>
      </c>
      <c r="S13" s="38">
        <f>IF(K13&gt;0,(L13+M13+N13+O13)/K13*100,0)</f>
        <v/>
      </c>
      <c r="T13" s="40" t="n"/>
      <c r="U13" s="40" t="n"/>
      <c r="V13" s="40" t="n"/>
      <c r="W13" s="40" t="n"/>
      <c r="X13" s="40" t="n"/>
      <c r="Y13" s="40" t="n"/>
    </row>
    <row r="14" ht="20" customHeight="1">
      <c r="A14" s="39" t="n"/>
      <c r="B14" s="39" t="n"/>
      <c r="C14" s="39" t="n"/>
      <c r="D14" s="39" t="n"/>
      <c r="E14" s="39" t="n"/>
      <c r="F14" s="39" t="n"/>
      <c r="G14" s="39" t="n"/>
      <c r="H14" s="39" t="n"/>
      <c r="I14" s="39" t="n"/>
      <c r="J14" s="39" t="n"/>
      <c r="K14" s="39" t="n"/>
      <c r="L14" s="39" t="n"/>
      <c r="M14" s="39" t="n"/>
      <c r="N14" s="39" t="n"/>
      <c r="O14" s="39" t="n"/>
      <c r="P14" s="39" t="n"/>
      <c r="Q14" s="39" t="n"/>
      <c r="R14" s="33">
        <f>IF(K14&gt;0,P14/K14*100,0)</f>
        <v/>
      </c>
      <c r="S14" s="33">
        <f>IF(K14&gt;0,(L14+M14+N14+O14)/K14*100,0)</f>
        <v/>
      </c>
      <c r="T14" s="39" t="n"/>
      <c r="U14" s="39" t="n"/>
      <c r="V14" s="39" t="n"/>
      <c r="W14" s="39" t="n"/>
      <c r="X14" s="39" t="n"/>
      <c r="Y14" s="39" t="n"/>
    </row>
    <row r="15" ht="20" customHeight="1">
      <c r="A15" s="40" t="n"/>
      <c r="B15" s="40" t="n"/>
      <c r="C15" s="40" t="n"/>
      <c r="D15" s="40" t="n"/>
      <c r="E15" s="40" t="n"/>
      <c r="F15" s="40" t="n"/>
      <c r="G15" s="40" t="n"/>
      <c r="H15" s="40" t="n"/>
      <c r="I15" s="40" t="n"/>
      <c r="J15" s="40" t="n"/>
      <c r="K15" s="40" t="n"/>
      <c r="L15" s="40" t="n"/>
      <c r="M15" s="40" t="n"/>
      <c r="N15" s="40" t="n"/>
      <c r="O15" s="40" t="n"/>
      <c r="P15" s="40" t="n"/>
      <c r="Q15" s="40" t="n"/>
      <c r="R15" s="38">
        <f>IF(K15&gt;0,P15/K15*100,0)</f>
        <v/>
      </c>
      <c r="S15" s="38">
        <f>IF(K15&gt;0,(L15+M15+N15+O15)/K15*100,0)</f>
        <v/>
      </c>
      <c r="T15" s="40" t="n"/>
      <c r="U15" s="40" t="n"/>
      <c r="V15" s="40" t="n"/>
      <c r="W15" s="40" t="n"/>
      <c r="X15" s="40" t="n"/>
      <c r="Y15" s="40" t="n"/>
    </row>
    <row r="16" ht="20" customHeight="1">
      <c r="A16" s="39" t="n"/>
      <c r="B16" s="39" t="n"/>
      <c r="C16" s="39" t="n"/>
      <c r="D16" s="39" t="n"/>
      <c r="E16" s="39" t="n"/>
      <c r="F16" s="39" t="n"/>
      <c r="G16" s="39" t="n"/>
      <c r="H16" s="39" t="n"/>
      <c r="I16" s="39" t="n"/>
      <c r="J16" s="39" t="n"/>
      <c r="K16" s="39" t="n"/>
      <c r="L16" s="39" t="n"/>
      <c r="M16" s="39" t="n"/>
      <c r="N16" s="39" t="n"/>
      <c r="O16" s="39" t="n"/>
      <c r="P16" s="39" t="n"/>
      <c r="Q16" s="39" t="n"/>
      <c r="R16" s="33">
        <f>IF(K16&gt;0,P16/K16*100,0)</f>
        <v/>
      </c>
      <c r="S16" s="33">
        <f>IF(K16&gt;0,(L16+M16+N16+O16)/K16*100,0)</f>
        <v/>
      </c>
      <c r="T16" s="39" t="n"/>
      <c r="U16" s="39" t="n"/>
      <c r="V16" s="39" t="n"/>
      <c r="W16" s="39" t="n"/>
      <c r="X16" s="39" t="n"/>
      <c r="Y16" s="39" t="n"/>
    </row>
    <row r="17" ht="20" customHeight="1">
      <c r="A17" s="40" t="n"/>
      <c r="B17" s="40" t="n"/>
      <c r="C17" s="40" t="n"/>
      <c r="D17" s="40" t="n"/>
      <c r="E17" s="40" t="n"/>
      <c r="F17" s="40" t="n"/>
      <c r="G17" s="40" t="n"/>
      <c r="H17" s="40" t="n"/>
      <c r="I17" s="40" t="n"/>
      <c r="J17" s="40" t="n"/>
      <c r="K17" s="40" t="n"/>
      <c r="L17" s="40" t="n"/>
      <c r="M17" s="40" t="n"/>
      <c r="N17" s="40" t="n"/>
      <c r="O17" s="40" t="n"/>
      <c r="P17" s="40" t="n"/>
      <c r="Q17" s="40" t="n"/>
      <c r="R17" s="38">
        <f>IF(K17&gt;0,P17/K17*100,0)</f>
        <v/>
      </c>
      <c r="S17" s="38">
        <f>IF(K17&gt;0,(L17+M17+N17+O17)/K17*100,0)</f>
        <v/>
      </c>
      <c r="T17" s="40" t="n"/>
      <c r="U17" s="40" t="n"/>
      <c r="V17" s="40" t="n"/>
      <c r="W17" s="40" t="n"/>
      <c r="X17" s="40" t="n"/>
      <c r="Y17" s="40" t="n"/>
    </row>
    <row r="18" ht="20" customHeight="1">
      <c r="A18" s="39" t="n"/>
      <c r="B18" s="39" t="n"/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39" t="n"/>
      <c r="P18" s="39" t="n"/>
      <c r="Q18" s="39" t="n"/>
      <c r="R18" s="33">
        <f>IF(K18&gt;0,P18/K18*100,0)</f>
        <v/>
      </c>
      <c r="S18" s="33">
        <f>IF(K18&gt;0,(L18+M18+N18+O18)/K18*100,0)</f>
        <v/>
      </c>
      <c r="T18" s="39" t="n"/>
      <c r="U18" s="39" t="n"/>
      <c r="V18" s="39" t="n"/>
      <c r="W18" s="39" t="n"/>
      <c r="X18" s="39" t="n"/>
      <c r="Y18" s="39" t="n"/>
    </row>
    <row r="19" ht="20" customHeight="1">
      <c r="A19" s="40" t="n"/>
      <c r="B19" s="40" t="n"/>
      <c r="C19" s="40" t="n"/>
      <c r="D19" s="40" t="n"/>
      <c r="E19" s="40" t="n"/>
      <c r="F19" s="40" t="n"/>
      <c r="G19" s="40" t="n"/>
      <c r="H19" s="40" t="n"/>
      <c r="I19" s="40" t="n"/>
      <c r="J19" s="40" t="n"/>
      <c r="K19" s="40" t="n"/>
      <c r="L19" s="40" t="n"/>
      <c r="M19" s="40" t="n"/>
      <c r="N19" s="40" t="n"/>
      <c r="O19" s="40" t="n"/>
      <c r="P19" s="40" t="n"/>
      <c r="Q19" s="40" t="n"/>
      <c r="R19" s="38">
        <f>IF(K19&gt;0,P19/K19*100,0)</f>
        <v/>
      </c>
      <c r="S19" s="38">
        <f>IF(K19&gt;0,(L19+M19+N19+O19)/K19*100,0)</f>
        <v/>
      </c>
      <c r="T19" s="40" t="n"/>
      <c r="U19" s="40" t="n"/>
      <c r="V19" s="40" t="n"/>
      <c r="W19" s="40" t="n"/>
      <c r="X19" s="40" t="n"/>
      <c r="Y19" s="40" t="n"/>
    </row>
    <row r="20" ht="20" customHeight="1">
      <c r="A20" s="39" t="n"/>
      <c r="B20" s="39" t="n"/>
      <c r="C20" s="39" t="n"/>
      <c r="D20" s="39" t="n"/>
      <c r="E20" s="39" t="n"/>
      <c r="F20" s="39" t="n"/>
      <c r="G20" s="39" t="n"/>
      <c r="H20" s="39" t="n"/>
      <c r="I20" s="39" t="n"/>
      <c r="J20" s="39" t="n"/>
      <c r="K20" s="39" t="n"/>
      <c r="L20" s="39" t="n"/>
      <c r="M20" s="39" t="n"/>
      <c r="N20" s="39" t="n"/>
      <c r="O20" s="39" t="n"/>
      <c r="P20" s="39" t="n"/>
      <c r="Q20" s="39" t="n"/>
      <c r="R20" s="33">
        <f>IF(K20&gt;0,P20/K20*100,0)</f>
        <v/>
      </c>
      <c r="S20" s="33">
        <f>IF(K20&gt;0,(L20+M20+N20+O20)/K20*100,0)</f>
        <v/>
      </c>
      <c r="T20" s="39" t="n"/>
      <c r="U20" s="39" t="n"/>
      <c r="V20" s="39" t="n"/>
      <c r="W20" s="39" t="n"/>
      <c r="X20" s="39" t="n"/>
      <c r="Y20" s="39" t="n"/>
    </row>
    <row r="21" ht="20" customHeight="1">
      <c r="A21" s="40" t="n"/>
      <c r="B21" s="40" t="n"/>
      <c r="C21" s="40" t="n"/>
      <c r="D21" s="40" t="n"/>
      <c r="E21" s="40" t="n"/>
      <c r="F21" s="40" t="n"/>
      <c r="G21" s="40" t="n"/>
      <c r="H21" s="40" t="n"/>
      <c r="I21" s="40" t="n"/>
      <c r="J21" s="40" t="n"/>
      <c r="K21" s="40" t="n"/>
      <c r="L21" s="40" t="n"/>
      <c r="M21" s="40" t="n"/>
      <c r="N21" s="40" t="n"/>
      <c r="O21" s="40" t="n"/>
      <c r="P21" s="40" t="n"/>
      <c r="Q21" s="40" t="n"/>
      <c r="R21" s="38">
        <f>IF(K21&gt;0,P21/K21*100,0)</f>
        <v/>
      </c>
      <c r="S21" s="38">
        <f>IF(K21&gt;0,(L21+M21+N21+O21)/K21*100,0)</f>
        <v/>
      </c>
      <c r="T21" s="40" t="n"/>
      <c r="U21" s="40" t="n"/>
      <c r="V21" s="40" t="n"/>
      <c r="W21" s="40" t="n"/>
      <c r="X21" s="40" t="n"/>
      <c r="Y21" s="40" t="n"/>
    </row>
    <row r="22" ht="20" customHeight="1">
      <c r="A22" s="39" t="n"/>
      <c r="B22" s="39" t="n"/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3">
        <f>IF(K22&gt;0,P22/K22*100,0)</f>
        <v/>
      </c>
      <c r="S22" s="33">
        <f>IF(K22&gt;0,(L22+M22+N22+O22)/K22*100,0)</f>
        <v/>
      </c>
      <c r="T22" s="39" t="n"/>
      <c r="U22" s="39" t="n"/>
      <c r="V22" s="39" t="n"/>
      <c r="W22" s="39" t="n"/>
      <c r="X22" s="39" t="n"/>
      <c r="Y22" s="39" t="n"/>
    </row>
    <row r="23" ht="20" customHeight="1">
      <c r="A23" s="40" t="n"/>
      <c r="B23" s="40" t="n"/>
      <c r="C23" s="40" t="n"/>
      <c r="D23" s="40" t="n"/>
      <c r="E23" s="40" t="n"/>
      <c r="F23" s="40" t="n"/>
      <c r="G23" s="40" t="n"/>
      <c r="H23" s="40" t="n"/>
      <c r="I23" s="40" t="n"/>
      <c r="J23" s="40" t="n"/>
      <c r="K23" s="40" t="n"/>
      <c r="L23" s="40" t="n"/>
      <c r="M23" s="40" t="n"/>
      <c r="N23" s="40" t="n"/>
      <c r="O23" s="40" t="n"/>
      <c r="P23" s="40" t="n"/>
      <c r="Q23" s="40" t="n"/>
      <c r="R23" s="38">
        <f>IF(K23&gt;0,P23/K23*100,0)</f>
        <v/>
      </c>
      <c r="S23" s="38">
        <f>IF(K23&gt;0,(L23+M23+N23+O23)/K23*100,0)</f>
        <v/>
      </c>
      <c r="T23" s="40" t="n"/>
      <c r="U23" s="40" t="n"/>
      <c r="V23" s="40" t="n"/>
      <c r="W23" s="40" t="n"/>
      <c r="X23" s="40" t="n"/>
      <c r="Y23" s="40" t="n"/>
    </row>
    <row r="24" ht="20" customHeight="1">
      <c r="A24" s="39" t="n"/>
      <c r="B24" s="39" t="n"/>
      <c r="C24" s="39" t="n"/>
      <c r="D24" s="39" t="n"/>
      <c r="E24" s="39" t="n"/>
      <c r="F24" s="39" t="n"/>
      <c r="G24" s="39" t="n"/>
      <c r="H24" s="39" t="n"/>
      <c r="I24" s="39" t="n"/>
      <c r="J24" s="39" t="n"/>
      <c r="K24" s="39" t="n"/>
      <c r="L24" s="39" t="n"/>
      <c r="M24" s="39" t="n"/>
      <c r="N24" s="39" t="n"/>
      <c r="O24" s="39" t="n"/>
      <c r="P24" s="39" t="n"/>
      <c r="Q24" s="39" t="n"/>
      <c r="R24" s="33">
        <f>IF(K24&gt;0,P24/K24*100,0)</f>
        <v/>
      </c>
      <c r="S24" s="33">
        <f>IF(K24&gt;0,(L24+M24+N24+O24)/K24*100,0)</f>
        <v/>
      </c>
      <c r="T24" s="39" t="n"/>
      <c r="U24" s="39" t="n"/>
      <c r="V24" s="39" t="n"/>
      <c r="W24" s="39" t="n"/>
      <c r="X24" s="39" t="n"/>
      <c r="Y24" s="39" t="n"/>
    </row>
    <row r="25" ht="20" customHeight="1">
      <c r="A25" s="40" t="n"/>
      <c r="B25" s="40" t="n"/>
      <c r="C25" s="40" t="n"/>
      <c r="D25" s="40" t="n"/>
      <c r="E25" s="40" t="n"/>
      <c r="F25" s="40" t="n"/>
      <c r="G25" s="40" t="n"/>
      <c r="H25" s="40" t="n"/>
      <c r="I25" s="40" t="n"/>
      <c r="J25" s="40" t="n"/>
      <c r="K25" s="40" t="n"/>
      <c r="L25" s="40" t="n"/>
      <c r="M25" s="40" t="n"/>
      <c r="N25" s="40" t="n"/>
      <c r="O25" s="40" t="n"/>
      <c r="P25" s="40" t="n"/>
      <c r="Q25" s="40" t="n"/>
      <c r="R25" s="38">
        <f>IF(K25&gt;0,P25/K25*100,0)</f>
        <v/>
      </c>
      <c r="S25" s="38">
        <f>IF(K25&gt;0,(L25+M25+N25+O25)/K25*100,0)</f>
        <v/>
      </c>
      <c r="T25" s="40" t="n"/>
      <c r="U25" s="40" t="n"/>
      <c r="V25" s="40" t="n"/>
      <c r="W25" s="40" t="n"/>
      <c r="X25" s="40" t="n"/>
      <c r="Y25" s="40" t="n"/>
    </row>
    <row r="26" ht="20" customHeight="1">
      <c r="A26" s="39" t="n"/>
      <c r="B26" s="39" t="n"/>
      <c r="C26" s="39" t="n"/>
      <c r="D26" s="39" t="n"/>
      <c r="E26" s="39" t="n"/>
      <c r="F26" s="39" t="n"/>
      <c r="G26" s="39" t="n"/>
      <c r="H26" s="39" t="n"/>
      <c r="I26" s="39" t="n"/>
      <c r="J26" s="39" t="n"/>
      <c r="K26" s="39" t="n"/>
      <c r="L26" s="39" t="n"/>
      <c r="M26" s="39" t="n"/>
      <c r="N26" s="39" t="n"/>
      <c r="O26" s="39" t="n"/>
      <c r="P26" s="39" t="n"/>
      <c r="Q26" s="39" t="n"/>
      <c r="R26" s="33">
        <f>IF(K26&gt;0,P26/K26*100,0)</f>
        <v/>
      </c>
      <c r="S26" s="33">
        <f>IF(K26&gt;0,(L26+M26+N26+O26)/K26*100,0)</f>
        <v/>
      </c>
      <c r="T26" s="39" t="n"/>
      <c r="U26" s="39" t="n"/>
      <c r="V26" s="39" t="n"/>
      <c r="W26" s="39" t="n"/>
      <c r="X26" s="39" t="n"/>
      <c r="Y26" s="39" t="n"/>
    </row>
    <row r="27" ht="20" customHeight="1">
      <c r="A27" s="40" t="n"/>
      <c r="B27" s="40" t="n"/>
      <c r="C27" s="40" t="n"/>
      <c r="D27" s="40" t="n"/>
      <c r="E27" s="40" t="n"/>
      <c r="F27" s="40" t="n"/>
      <c r="G27" s="40" t="n"/>
      <c r="H27" s="40" t="n"/>
      <c r="I27" s="40" t="n"/>
      <c r="J27" s="40" t="n"/>
      <c r="K27" s="40" t="n"/>
      <c r="L27" s="40" t="n"/>
      <c r="M27" s="40" t="n"/>
      <c r="N27" s="40" t="n"/>
      <c r="O27" s="40" t="n"/>
      <c r="P27" s="40" t="n"/>
      <c r="Q27" s="40" t="n"/>
      <c r="R27" s="38">
        <f>IF(K27&gt;0,P27/K27*100,0)</f>
        <v/>
      </c>
      <c r="S27" s="38">
        <f>IF(K27&gt;0,(L27+M27+N27+O27)/K27*100,0)</f>
        <v/>
      </c>
      <c r="T27" s="40" t="n"/>
      <c r="U27" s="40" t="n"/>
      <c r="V27" s="40" t="n"/>
      <c r="W27" s="40" t="n"/>
      <c r="X27" s="40" t="n"/>
      <c r="Y27" s="40" t="n"/>
    </row>
    <row r="28" ht="20" customHeight="1">
      <c r="A28" s="39" t="n"/>
      <c r="B28" s="39" t="n"/>
      <c r="C28" s="39" t="n"/>
      <c r="D28" s="39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39" t="n"/>
      <c r="N28" s="39" t="n"/>
      <c r="O28" s="39" t="n"/>
      <c r="P28" s="39" t="n"/>
      <c r="Q28" s="39" t="n"/>
      <c r="R28" s="33">
        <f>IF(K28&gt;0,P28/K28*100,0)</f>
        <v/>
      </c>
      <c r="S28" s="33">
        <f>IF(K28&gt;0,(L28+M28+N28+O28)/K28*100,0)</f>
        <v/>
      </c>
      <c r="T28" s="39" t="n"/>
      <c r="U28" s="39" t="n"/>
      <c r="V28" s="39" t="n"/>
      <c r="W28" s="39" t="n"/>
      <c r="X28" s="39" t="n"/>
      <c r="Y28" s="39" t="n"/>
    </row>
    <row r="29" ht="20" customHeight="1">
      <c r="A29" s="40" t="n"/>
      <c r="B29" s="40" t="n"/>
      <c r="C29" s="40" t="n"/>
      <c r="D29" s="40" t="n"/>
      <c r="E29" s="40" t="n"/>
      <c r="F29" s="40" t="n"/>
      <c r="G29" s="40" t="n"/>
      <c r="H29" s="40" t="n"/>
      <c r="I29" s="40" t="n"/>
      <c r="J29" s="40" t="n"/>
      <c r="K29" s="40" t="n"/>
      <c r="L29" s="40" t="n"/>
      <c r="M29" s="40" t="n"/>
      <c r="N29" s="40" t="n"/>
      <c r="O29" s="40" t="n"/>
      <c r="P29" s="40" t="n"/>
      <c r="Q29" s="40" t="n"/>
      <c r="R29" s="38">
        <f>IF(K29&gt;0,P29/K29*100,0)</f>
        <v/>
      </c>
      <c r="S29" s="38">
        <f>IF(K29&gt;0,(L29+M29+N29+O29)/K29*100,0)</f>
        <v/>
      </c>
      <c r="T29" s="40" t="n"/>
      <c r="U29" s="40" t="n"/>
      <c r="V29" s="40" t="n"/>
      <c r="W29" s="40" t="n"/>
      <c r="X29" s="40" t="n"/>
      <c r="Y29" s="40" t="n"/>
    </row>
    <row r="30" ht="20" customHeight="1">
      <c r="A30" s="39" t="n"/>
      <c r="B30" s="39" t="n"/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9" t="n"/>
      <c r="N30" s="39" t="n"/>
      <c r="O30" s="39" t="n"/>
      <c r="P30" s="39" t="n"/>
      <c r="Q30" s="39" t="n"/>
      <c r="R30" s="33">
        <f>IF(K30&gt;0,P30/K30*100,0)</f>
        <v/>
      </c>
      <c r="S30" s="33">
        <f>IF(K30&gt;0,(L30+M30+N30+O30)/K30*100,0)</f>
        <v/>
      </c>
      <c r="T30" s="39" t="n"/>
      <c r="U30" s="39" t="n"/>
      <c r="V30" s="39" t="n"/>
      <c r="W30" s="39" t="n"/>
      <c r="X30" s="39" t="n"/>
      <c r="Y30" s="39" t="n"/>
    </row>
    <row r="31" ht="20" customHeight="1">
      <c r="A31" s="40" t="n"/>
      <c r="B31" s="40" t="n"/>
      <c r="C31" s="40" t="n"/>
      <c r="D31" s="40" t="n"/>
      <c r="E31" s="40" t="n"/>
      <c r="F31" s="40" t="n"/>
      <c r="G31" s="40" t="n"/>
      <c r="H31" s="40" t="n"/>
      <c r="I31" s="40" t="n"/>
      <c r="J31" s="40" t="n"/>
      <c r="K31" s="40" t="n"/>
      <c r="L31" s="40" t="n"/>
      <c r="M31" s="40" t="n"/>
      <c r="N31" s="40" t="n"/>
      <c r="O31" s="40" t="n"/>
      <c r="P31" s="40" t="n"/>
      <c r="Q31" s="40" t="n"/>
      <c r="R31" s="38">
        <f>IF(K31&gt;0,P31/K31*100,0)</f>
        <v/>
      </c>
      <c r="S31" s="38">
        <f>IF(K31&gt;0,(L31+M31+N31+O31)/K31*100,0)</f>
        <v/>
      </c>
      <c r="T31" s="40" t="n"/>
      <c r="U31" s="40" t="n"/>
      <c r="V31" s="40" t="n"/>
      <c r="W31" s="40" t="n"/>
      <c r="X31" s="40" t="n"/>
      <c r="Y31" s="40" t="n"/>
    </row>
    <row r="32" ht="20" customHeight="1">
      <c r="A32" s="39" t="n"/>
      <c r="B32" s="39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39" t="n"/>
      <c r="L32" s="39" t="n"/>
      <c r="M32" s="39" t="n"/>
      <c r="N32" s="39" t="n"/>
      <c r="O32" s="39" t="n"/>
      <c r="P32" s="39" t="n"/>
      <c r="Q32" s="39" t="n"/>
      <c r="R32" s="33">
        <f>IF(K32&gt;0,P32/K32*100,0)</f>
        <v/>
      </c>
      <c r="S32" s="33">
        <f>IF(K32&gt;0,(L32+M32+N32+O32)/K32*100,0)</f>
        <v/>
      </c>
      <c r="T32" s="39" t="n"/>
      <c r="U32" s="39" t="n"/>
      <c r="V32" s="39" t="n"/>
      <c r="W32" s="39" t="n"/>
      <c r="X32" s="39" t="n"/>
      <c r="Y32" s="39" t="n"/>
    </row>
    <row r="33" ht="20" customHeight="1">
      <c r="A33" s="40" t="n"/>
      <c r="B33" s="40" t="n"/>
      <c r="C33" s="40" t="n"/>
      <c r="D33" s="40" t="n"/>
      <c r="E33" s="40" t="n"/>
      <c r="F33" s="40" t="n"/>
      <c r="G33" s="40" t="n"/>
      <c r="H33" s="40" t="n"/>
      <c r="I33" s="40" t="n"/>
      <c r="J33" s="40" t="n"/>
      <c r="K33" s="40" t="n"/>
      <c r="L33" s="40" t="n"/>
      <c r="M33" s="40" t="n"/>
      <c r="N33" s="40" t="n"/>
      <c r="O33" s="40" t="n"/>
      <c r="P33" s="40" t="n"/>
      <c r="Q33" s="40" t="n"/>
      <c r="R33" s="38">
        <f>IF(K33&gt;0,P33/K33*100,0)</f>
        <v/>
      </c>
      <c r="S33" s="38">
        <f>IF(K33&gt;0,(L33+M33+N33+O33)/K33*100,0)</f>
        <v/>
      </c>
      <c r="T33" s="40" t="n"/>
      <c r="U33" s="40" t="n"/>
      <c r="V33" s="40" t="n"/>
      <c r="W33" s="40" t="n"/>
      <c r="X33" s="40" t="n"/>
      <c r="Y33" s="40" t="n"/>
    </row>
    <row r="34" ht="20" customHeight="1">
      <c r="A34" s="39" t="n"/>
      <c r="B34" s="39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39" t="n"/>
      <c r="L34" s="39" t="n"/>
      <c r="M34" s="39" t="n"/>
      <c r="N34" s="39" t="n"/>
      <c r="O34" s="39" t="n"/>
      <c r="P34" s="39" t="n"/>
      <c r="Q34" s="39" t="n"/>
      <c r="R34" s="33">
        <f>IF(K34&gt;0,P34/K34*100,0)</f>
        <v/>
      </c>
      <c r="S34" s="33">
        <f>IF(K34&gt;0,(L34+M34+N34+O34)/K34*100,0)</f>
        <v/>
      </c>
      <c r="T34" s="39" t="n"/>
      <c r="U34" s="39" t="n"/>
      <c r="V34" s="39" t="n"/>
      <c r="W34" s="39" t="n"/>
      <c r="X34" s="39" t="n"/>
      <c r="Y34" s="39" t="n"/>
    </row>
    <row r="35" ht="20" customHeight="1">
      <c r="A35" s="40" t="n"/>
      <c r="B35" s="40" t="n"/>
      <c r="C35" s="40" t="n"/>
      <c r="D35" s="40" t="n"/>
      <c r="E35" s="40" t="n"/>
      <c r="F35" s="40" t="n"/>
      <c r="G35" s="40" t="n"/>
      <c r="H35" s="40" t="n"/>
      <c r="I35" s="40" t="n"/>
      <c r="J35" s="40" t="n"/>
      <c r="K35" s="40" t="n"/>
      <c r="L35" s="40" t="n"/>
      <c r="M35" s="40" t="n"/>
      <c r="N35" s="40" t="n"/>
      <c r="O35" s="40" t="n"/>
      <c r="P35" s="40" t="n"/>
      <c r="Q35" s="40" t="n"/>
      <c r="R35" s="38">
        <f>IF(K35&gt;0,P35/K35*100,0)</f>
        <v/>
      </c>
      <c r="S35" s="38">
        <f>IF(K35&gt;0,(L35+M35+N35+O35)/K35*100,0)</f>
        <v/>
      </c>
      <c r="T35" s="40" t="n"/>
      <c r="U35" s="40" t="n"/>
      <c r="V35" s="40" t="n"/>
      <c r="W35" s="40" t="n"/>
      <c r="X35" s="40" t="n"/>
      <c r="Y35" s="40" t="n"/>
    </row>
    <row r="36" ht="20" customHeight="1">
      <c r="A36" s="39" t="n"/>
      <c r="B36" s="39" t="n"/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3">
        <f>IF(K36&gt;0,P36/K36*100,0)</f>
        <v/>
      </c>
      <c r="S36" s="33">
        <f>IF(K36&gt;0,(L36+M36+N36+O36)/K36*100,0)</f>
        <v/>
      </c>
      <c r="T36" s="39" t="n"/>
      <c r="U36" s="39" t="n"/>
      <c r="V36" s="39" t="n"/>
      <c r="W36" s="39" t="n"/>
      <c r="X36" s="39" t="n"/>
      <c r="Y36" s="39" t="n"/>
    </row>
    <row r="37" ht="20" customHeight="1">
      <c r="A37" s="40" t="n"/>
      <c r="B37" s="40" t="n"/>
      <c r="C37" s="40" t="n"/>
      <c r="D37" s="40" t="n"/>
      <c r="E37" s="40" t="n"/>
      <c r="F37" s="40" t="n"/>
      <c r="G37" s="40" t="n"/>
      <c r="H37" s="40" t="n"/>
      <c r="I37" s="40" t="n"/>
      <c r="J37" s="40" t="n"/>
      <c r="K37" s="40" t="n"/>
      <c r="L37" s="40" t="n"/>
      <c r="M37" s="40" t="n"/>
      <c r="N37" s="40" t="n"/>
      <c r="O37" s="40" t="n"/>
      <c r="P37" s="40" t="n"/>
      <c r="Q37" s="40" t="n"/>
      <c r="R37" s="38">
        <f>IF(K37&gt;0,P37/K37*100,0)</f>
        <v/>
      </c>
      <c r="S37" s="38">
        <f>IF(K37&gt;0,(L37+M37+N37+O37)/K37*100,0)</f>
        <v/>
      </c>
      <c r="T37" s="40" t="n"/>
      <c r="U37" s="40" t="n"/>
      <c r="V37" s="40" t="n"/>
      <c r="W37" s="40" t="n"/>
      <c r="X37" s="40" t="n"/>
      <c r="Y37" s="40" t="n"/>
    </row>
    <row r="38" ht="20" customHeight="1">
      <c r="A38" s="39" t="n"/>
      <c r="B38" s="39" t="n"/>
      <c r="C38" s="39" t="n"/>
      <c r="D38" s="39" t="n"/>
      <c r="E38" s="39" t="n"/>
      <c r="F38" s="39" t="n"/>
      <c r="G38" s="39" t="n"/>
      <c r="H38" s="39" t="n"/>
      <c r="I38" s="39" t="n"/>
      <c r="J38" s="39" t="n"/>
      <c r="K38" s="39" t="n"/>
      <c r="L38" s="39" t="n"/>
      <c r="M38" s="39" t="n"/>
      <c r="N38" s="39" t="n"/>
      <c r="O38" s="39" t="n"/>
      <c r="P38" s="39" t="n"/>
      <c r="Q38" s="39" t="n"/>
      <c r="R38" s="33">
        <f>IF(K38&gt;0,P38/K38*100,0)</f>
        <v/>
      </c>
      <c r="S38" s="33">
        <f>IF(K38&gt;0,(L38+M38+N38+O38)/K38*100,0)</f>
        <v/>
      </c>
      <c r="T38" s="39" t="n"/>
      <c r="U38" s="39" t="n"/>
      <c r="V38" s="39" t="n"/>
      <c r="W38" s="39" t="n"/>
      <c r="X38" s="39" t="n"/>
      <c r="Y38" s="39" t="n"/>
    </row>
    <row r="39" ht="20" customHeight="1">
      <c r="A39" s="40" t="n"/>
      <c r="B39" s="40" t="n"/>
      <c r="C39" s="40" t="n"/>
      <c r="D39" s="40" t="n"/>
      <c r="E39" s="40" t="n"/>
      <c r="F39" s="40" t="n"/>
      <c r="G39" s="40" t="n"/>
      <c r="H39" s="40" t="n"/>
      <c r="I39" s="40" t="n"/>
      <c r="J39" s="40" t="n"/>
      <c r="K39" s="40" t="n"/>
      <c r="L39" s="40" t="n"/>
      <c r="M39" s="40" t="n"/>
      <c r="N39" s="40" t="n"/>
      <c r="O39" s="40" t="n"/>
      <c r="P39" s="40" t="n"/>
      <c r="Q39" s="40" t="n"/>
      <c r="R39" s="38">
        <f>IF(K39&gt;0,P39/K39*100,0)</f>
        <v/>
      </c>
      <c r="S39" s="38">
        <f>IF(K39&gt;0,(L39+M39+N39+O39)/K39*100,0)</f>
        <v/>
      </c>
      <c r="T39" s="40" t="n"/>
      <c r="U39" s="40" t="n"/>
      <c r="V39" s="40" t="n"/>
      <c r="W39" s="40" t="n"/>
      <c r="X39" s="40" t="n"/>
      <c r="Y39" s="40" t="n"/>
    </row>
    <row r="40" ht="20" customHeight="1">
      <c r="A40" s="39" t="n"/>
      <c r="B40" s="39" t="n"/>
      <c r="C40" s="39" t="n"/>
      <c r="D40" s="39" t="n"/>
      <c r="E40" s="39" t="n"/>
      <c r="F40" s="39" t="n"/>
      <c r="G40" s="39" t="n"/>
      <c r="H40" s="39" t="n"/>
      <c r="I40" s="39" t="n"/>
      <c r="J40" s="39" t="n"/>
      <c r="K40" s="39" t="n"/>
      <c r="L40" s="39" t="n"/>
      <c r="M40" s="39" t="n"/>
      <c r="N40" s="39" t="n"/>
      <c r="O40" s="39" t="n"/>
      <c r="P40" s="39" t="n"/>
      <c r="Q40" s="39" t="n"/>
      <c r="R40" s="33">
        <f>IF(K40&gt;0,P40/K40*100,0)</f>
        <v/>
      </c>
      <c r="S40" s="33">
        <f>IF(K40&gt;0,(L40+M40+N40+O40)/K40*100,0)</f>
        <v/>
      </c>
      <c r="T40" s="39" t="n"/>
      <c r="U40" s="39" t="n"/>
      <c r="V40" s="39" t="n"/>
      <c r="W40" s="39" t="n"/>
      <c r="X40" s="39" t="n"/>
      <c r="Y40" s="39" t="n"/>
    </row>
    <row r="41" ht="20" customHeight="1">
      <c r="A41" s="40" t="n"/>
      <c r="B41" s="40" t="n"/>
      <c r="C41" s="40" t="n"/>
      <c r="D41" s="40" t="n"/>
      <c r="E41" s="40" t="n"/>
      <c r="F41" s="40" t="n"/>
      <c r="G41" s="40" t="n"/>
      <c r="H41" s="40" t="n"/>
      <c r="I41" s="40" t="n"/>
      <c r="J41" s="40" t="n"/>
      <c r="K41" s="40" t="n"/>
      <c r="L41" s="40" t="n"/>
      <c r="M41" s="40" t="n"/>
      <c r="N41" s="40" t="n"/>
      <c r="O41" s="40" t="n"/>
      <c r="P41" s="40" t="n"/>
      <c r="Q41" s="40" t="n"/>
      <c r="R41" s="38">
        <f>IF(K41&gt;0,P41/K41*100,0)</f>
        <v/>
      </c>
      <c r="S41" s="38">
        <f>IF(K41&gt;0,(L41+M41+N41+O41)/K41*100,0)</f>
        <v/>
      </c>
      <c r="T41" s="40" t="n"/>
      <c r="U41" s="40" t="n"/>
      <c r="V41" s="40" t="n"/>
      <c r="W41" s="40" t="n"/>
      <c r="X41" s="40" t="n"/>
      <c r="Y41" s="40" t="n"/>
    </row>
    <row r="42" ht="20" customHeight="1">
      <c r="A42" s="39" t="n"/>
      <c r="B42" s="39" t="n"/>
      <c r="C42" s="39" t="n"/>
      <c r="D42" s="39" t="n"/>
      <c r="E42" s="39" t="n"/>
      <c r="F42" s="39" t="n"/>
      <c r="G42" s="39" t="n"/>
      <c r="H42" s="39" t="n"/>
      <c r="I42" s="39" t="n"/>
      <c r="J42" s="39" t="n"/>
      <c r="K42" s="39" t="n"/>
      <c r="L42" s="39" t="n"/>
      <c r="M42" s="39" t="n"/>
      <c r="N42" s="39" t="n"/>
      <c r="O42" s="39" t="n"/>
      <c r="P42" s="39" t="n"/>
      <c r="Q42" s="39" t="n"/>
      <c r="R42" s="33">
        <f>IF(K42&gt;0,P42/K42*100,0)</f>
        <v/>
      </c>
      <c r="S42" s="33">
        <f>IF(K42&gt;0,(L42+M42+N42+O42)/K42*100,0)</f>
        <v/>
      </c>
      <c r="T42" s="39" t="n"/>
      <c r="U42" s="39" t="n"/>
      <c r="V42" s="39" t="n"/>
      <c r="W42" s="39" t="n"/>
      <c r="X42" s="39" t="n"/>
      <c r="Y42" s="39" t="n"/>
    </row>
    <row r="43" ht="20" customHeight="1">
      <c r="A43" s="40" t="n"/>
      <c r="B43" s="40" t="n"/>
      <c r="C43" s="40" t="n"/>
      <c r="D43" s="40" t="n"/>
      <c r="E43" s="40" t="n"/>
      <c r="F43" s="40" t="n"/>
      <c r="G43" s="40" t="n"/>
      <c r="H43" s="40" t="n"/>
      <c r="I43" s="40" t="n"/>
      <c r="J43" s="40" t="n"/>
      <c r="K43" s="40" t="n"/>
      <c r="L43" s="40" t="n"/>
      <c r="M43" s="40" t="n"/>
      <c r="N43" s="40" t="n"/>
      <c r="O43" s="40" t="n"/>
      <c r="P43" s="40" t="n"/>
      <c r="Q43" s="40" t="n"/>
      <c r="R43" s="38">
        <f>IF(K43&gt;0,P43/K43*100,0)</f>
        <v/>
      </c>
      <c r="S43" s="38">
        <f>IF(K43&gt;0,(L43+M43+N43+O43)/K43*100,0)</f>
        <v/>
      </c>
      <c r="T43" s="40" t="n"/>
      <c r="U43" s="40" t="n"/>
      <c r="V43" s="40" t="n"/>
      <c r="W43" s="40" t="n"/>
      <c r="X43" s="40" t="n"/>
      <c r="Y43" s="40" t="n"/>
    </row>
    <row r="44" ht="20" customHeight="1">
      <c r="A44" s="39" t="n"/>
      <c r="B44" s="39" t="n"/>
      <c r="C44" s="39" t="n"/>
      <c r="D44" s="39" t="n"/>
      <c r="E44" s="39" t="n"/>
      <c r="F44" s="39" t="n"/>
      <c r="G44" s="39" t="n"/>
      <c r="H44" s="39" t="n"/>
      <c r="I44" s="39" t="n"/>
      <c r="J44" s="39" t="n"/>
      <c r="K44" s="39" t="n"/>
      <c r="L44" s="39" t="n"/>
      <c r="M44" s="39" t="n"/>
      <c r="N44" s="39" t="n"/>
      <c r="O44" s="39" t="n"/>
      <c r="P44" s="39" t="n"/>
      <c r="Q44" s="39" t="n"/>
      <c r="R44" s="33">
        <f>IF(K44&gt;0,P44/K44*100,0)</f>
        <v/>
      </c>
      <c r="S44" s="33">
        <f>IF(K44&gt;0,(L44+M44+N44+O44)/K44*100,0)</f>
        <v/>
      </c>
      <c r="T44" s="39" t="n"/>
      <c r="U44" s="39" t="n"/>
      <c r="V44" s="39" t="n"/>
      <c r="W44" s="39" t="n"/>
      <c r="X44" s="39" t="n"/>
      <c r="Y44" s="39" t="n"/>
    </row>
    <row r="45" ht="20" customHeight="1">
      <c r="A45" s="40" t="n"/>
      <c r="B45" s="40" t="n"/>
      <c r="C45" s="40" t="n"/>
      <c r="D45" s="40" t="n"/>
      <c r="E45" s="40" t="n"/>
      <c r="F45" s="40" t="n"/>
      <c r="G45" s="40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38">
        <f>IF(K45&gt;0,P45/K45*100,0)</f>
        <v/>
      </c>
      <c r="S45" s="38">
        <f>IF(K45&gt;0,(L45+M45+N45+O45)/K45*100,0)</f>
        <v/>
      </c>
      <c r="T45" s="40" t="n"/>
      <c r="U45" s="40" t="n"/>
      <c r="V45" s="40" t="n"/>
      <c r="W45" s="40" t="n"/>
      <c r="X45" s="40" t="n"/>
      <c r="Y45" s="40" t="n"/>
    </row>
    <row r="46" ht="20" customHeight="1">
      <c r="A46" s="39" t="n"/>
      <c r="B46" s="39" t="n"/>
      <c r="C46" s="39" t="n"/>
      <c r="D46" s="39" t="n"/>
      <c r="E46" s="39" t="n"/>
      <c r="F46" s="39" t="n"/>
      <c r="G46" s="39" t="n"/>
      <c r="H46" s="39" t="n"/>
      <c r="I46" s="39" t="n"/>
      <c r="J46" s="39" t="n"/>
      <c r="K46" s="39" t="n"/>
      <c r="L46" s="39" t="n"/>
      <c r="M46" s="39" t="n"/>
      <c r="N46" s="39" t="n"/>
      <c r="O46" s="39" t="n"/>
      <c r="P46" s="39" t="n"/>
      <c r="Q46" s="39" t="n"/>
      <c r="R46" s="33">
        <f>IF(K46&gt;0,P46/K46*100,0)</f>
        <v/>
      </c>
      <c r="S46" s="33">
        <f>IF(K46&gt;0,(L46+M46+N46+O46)/K46*100,0)</f>
        <v/>
      </c>
      <c r="T46" s="39" t="n"/>
      <c r="U46" s="39" t="n"/>
      <c r="V46" s="39" t="n"/>
      <c r="W46" s="39" t="n"/>
      <c r="X46" s="39" t="n"/>
      <c r="Y46" s="39" t="n"/>
    </row>
    <row r="47" ht="20" customHeight="1">
      <c r="A47" s="40" t="n"/>
      <c r="B47" s="40" t="n"/>
      <c r="C47" s="40" t="n"/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38">
        <f>IF(K47&gt;0,P47/K47*100,0)</f>
        <v/>
      </c>
      <c r="S47" s="38">
        <f>IF(K47&gt;0,(L47+M47+N47+O47)/K47*100,0)</f>
        <v/>
      </c>
      <c r="T47" s="40" t="n"/>
      <c r="U47" s="40" t="n"/>
      <c r="V47" s="40" t="n"/>
      <c r="W47" s="40" t="n"/>
      <c r="X47" s="40" t="n"/>
      <c r="Y47" s="40" t="n"/>
    </row>
    <row r="48" ht="20" customHeight="1">
      <c r="A48" s="39" t="n"/>
      <c r="B48" s="39" t="n"/>
      <c r="C48" s="39" t="n"/>
      <c r="D48" s="39" t="n"/>
      <c r="E48" s="39" t="n"/>
      <c r="F48" s="39" t="n"/>
      <c r="G48" s="39" t="n"/>
      <c r="H48" s="39" t="n"/>
      <c r="I48" s="39" t="n"/>
      <c r="J48" s="39" t="n"/>
      <c r="K48" s="39" t="n"/>
      <c r="L48" s="39" t="n"/>
      <c r="M48" s="39" t="n"/>
      <c r="N48" s="39" t="n"/>
      <c r="O48" s="39" t="n"/>
      <c r="P48" s="39" t="n"/>
      <c r="Q48" s="39" t="n"/>
      <c r="R48" s="33">
        <f>IF(K48&gt;0,P48/K48*100,0)</f>
        <v/>
      </c>
      <c r="S48" s="33">
        <f>IF(K48&gt;0,(L48+M48+N48+O48)/K48*100,0)</f>
        <v/>
      </c>
      <c r="T48" s="39" t="n"/>
      <c r="U48" s="39" t="n"/>
      <c r="V48" s="39" t="n"/>
      <c r="W48" s="39" t="n"/>
      <c r="X48" s="39" t="n"/>
      <c r="Y48" s="39" t="n"/>
    </row>
    <row r="49" ht="20" customHeight="1">
      <c r="A49" s="40" t="n"/>
      <c r="B49" s="40" t="n"/>
      <c r="C49" s="40" t="n"/>
      <c r="D49" s="40" t="n"/>
      <c r="E49" s="40" t="n"/>
      <c r="F49" s="40" t="n"/>
      <c r="G49" s="40" t="n"/>
      <c r="H49" s="40" t="n"/>
      <c r="I49" s="40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38">
        <f>IF(K49&gt;0,P49/K49*100,0)</f>
        <v/>
      </c>
      <c r="S49" s="38">
        <f>IF(K49&gt;0,(L49+M49+N49+O49)/K49*100,0)</f>
        <v/>
      </c>
      <c r="T49" s="40" t="n"/>
      <c r="U49" s="40" t="n"/>
      <c r="V49" s="40" t="n"/>
      <c r="W49" s="40" t="n"/>
      <c r="X49" s="40" t="n"/>
      <c r="Y49" s="40" t="n"/>
    </row>
    <row r="50" ht="20" customHeight="1">
      <c r="A50" s="39" t="n"/>
      <c r="B50" s="39" t="n"/>
      <c r="C50" s="39" t="n"/>
      <c r="D50" s="39" t="n"/>
      <c r="E50" s="39" t="n"/>
      <c r="F50" s="39" t="n"/>
      <c r="G50" s="39" t="n"/>
      <c r="H50" s="39" t="n"/>
      <c r="I50" s="39" t="n"/>
      <c r="J50" s="39" t="n"/>
      <c r="K50" s="39" t="n"/>
      <c r="L50" s="39" t="n"/>
      <c r="M50" s="39" t="n"/>
      <c r="N50" s="39" t="n"/>
      <c r="O50" s="39" t="n"/>
      <c r="P50" s="39" t="n"/>
      <c r="Q50" s="39" t="n"/>
      <c r="R50" s="33">
        <f>IF(K50&gt;0,P50/K50*100,0)</f>
        <v/>
      </c>
      <c r="S50" s="33">
        <f>IF(K50&gt;0,(L50+M50+N50+O50)/K50*100,0)</f>
        <v/>
      </c>
      <c r="T50" s="39" t="n"/>
      <c r="U50" s="39" t="n"/>
      <c r="V50" s="39" t="n"/>
      <c r="W50" s="39" t="n"/>
      <c r="X50" s="39" t="n"/>
      <c r="Y50" s="39" t="n"/>
    </row>
    <row r="51" ht="20" customHeight="1">
      <c r="A51" s="40" t="n"/>
      <c r="B51" s="40" t="n"/>
      <c r="C51" s="40" t="n"/>
      <c r="D51" s="40" t="n"/>
      <c r="E51" s="40" t="n"/>
      <c r="F51" s="40" t="n"/>
      <c r="G51" s="40" t="n"/>
      <c r="H51" s="40" t="n"/>
      <c r="I51" s="40" t="n"/>
      <c r="J51" s="40" t="n"/>
      <c r="K51" s="40" t="n"/>
      <c r="L51" s="40" t="n"/>
      <c r="M51" s="40" t="n"/>
      <c r="N51" s="40" t="n"/>
      <c r="O51" s="40" t="n"/>
      <c r="P51" s="40" t="n"/>
      <c r="Q51" s="40" t="n"/>
      <c r="R51" s="38">
        <f>IF(K51&gt;0,P51/K51*100,0)</f>
        <v/>
      </c>
      <c r="S51" s="38">
        <f>IF(K51&gt;0,(L51+M51+N51+O51)/K51*100,0)</f>
        <v/>
      </c>
      <c r="T51" s="40" t="n"/>
      <c r="U51" s="40" t="n"/>
      <c r="V51" s="40" t="n"/>
      <c r="W51" s="40" t="n"/>
      <c r="X51" s="40" t="n"/>
      <c r="Y51" s="40" t="n"/>
    </row>
    <row r="52" ht="20" customHeight="1">
      <c r="A52" s="39" t="n"/>
      <c r="B52" s="39" t="n"/>
      <c r="C52" s="39" t="n"/>
      <c r="D52" s="39" t="n"/>
      <c r="E52" s="39" t="n"/>
      <c r="F52" s="39" t="n"/>
      <c r="G52" s="39" t="n"/>
      <c r="H52" s="39" t="n"/>
      <c r="I52" s="39" t="n"/>
      <c r="J52" s="39" t="n"/>
      <c r="K52" s="39" t="n"/>
      <c r="L52" s="39" t="n"/>
      <c r="M52" s="39" t="n"/>
      <c r="N52" s="39" t="n"/>
      <c r="O52" s="39" t="n"/>
      <c r="P52" s="39" t="n"/>
      <c r="Q52" s="39" t="n"/>
      <c r="R52" s="33">
        <f>IF(K52&gt;0,P52/K52*100,0)</f>
        <v/>
      </c>
      <c r="S52" s="33">
        <f>IF(K52&gt;0,(L52+M52+N52+O52)/K52*100,0)</f>
        <v/>
      </c>
      <c r="T52" s="39" t="n"/>
      <c r="U52" s="39" t="n"/>
      <c r="V52" s="39" t="n"/>
      <c r="W52" s="39" t="n"/>
      <c r="X52" s="39" t="n"/>
      <c r="Y52" s="39" t="n"/>
    </row>
  </sheetData>
  <mergeCells count="5">
    <mergeCell ref="T1:V1"/>
    <mergeCell ref="K1:S1"/>
    <mergeCell ref="A1:C1"/>
    <mergeCell ref="W1:Y1"/>
    <mergeCell ref="D1:J1"/>
  </mergeCells>
  <conditionalFormatting sqref="S3:S52">
    <cfRule type="colorScale" priority="1">
      <colorScale>
        <cfvo type="num" val="0"/>
        <cfvo type="num" val="3"/>
        <cfvo type="num" val="10"/>
        <color rgb="00FF5252"/>
        <color rgb="00FFEB3B"/>
        <color rgb="004CAF50"/>
      </colorScale>
    </cfRule>
  </conditionalFormatting>
  <conditionalFormatting sqref="Q3:Q52">
    <cfRule type="colorScale" priority="2">
      <colorScale>
        <cfvo type="num" val="0"/>
        <cfvo type="num" val="1.5"/>
        <cfvo type="num" val="5"/>
        <color rgb="00FFCDD2"/>
        <color rgb="00FFF9C4"/>
        <color rgb="00C8E6C9"/>
      </colorScale>
    </cfRule>
  </conditionalFormatting>
  <dataValidations count="4">
    <dataValidation sqref="D3:D52" showDropDown="0" showInputMessage="0" showErrorMessage="0" allowBlank="0" type="list">
      <formula1>"TikTok,Facebook Reels,Facebook Feed Video,Facebook Watch,Instagram Reels,YouTube Shorts"</formula1>
    </dataValidation>
    <dataValidation sqref="F3:F52" showDropDown="0" showInputMessage="0" showErrorMessage="0" allowBlank="0" type="list">
      <formula1>"Organic,Paid,Boosted"</formula1>
    </dataValidation>
    <dataValidation sqref="E3:E52" showDropDown="0" showInputMessage="0" showErrorMessage="0" allowBlank="0" type="list">
      <formula1>"Thường,Tết Nguyên Đán,Rằm tháng 7,8/3,20/10,Giáng sinh,Valentine,11/11,12/12"</formula1>
    </dataValidation>
    <dataValidation sqref="I3:I52" showDropDown="0" showInputMessage="0" showErrorMessage="0" allowBlank="0" type="list">
      <formula1>"Demo sản phẩm,Testimonial,So sánh sản phẩm,Giáo dục/Tips,Câu chuyện,Unboxing,Challenge,Live review"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5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28" customWidth="1" min="3" max="3"/>
    <col width="14" customWidth="1" min="4" max="4"/>
    <col width="20" customWidth="1" min="5" max="5"/>
    <col width="18" customWidth="1" min="6" max="6"/>
    <col width="20" customWidth="1" min="7" max="7"/>
    <col width="20" customWidth="1" min="8" max="8"/>
    <col width="18" customWidth="1" min="9" max="9"/>
    <col width="25" customWidth="1" min="10" max="10"/>
    <col width="16" customWidth="1" min="11" max="11"/>
    <col width="15" customWidth="1" min="12" max="12"/>
    <col width="25" customWidth="1" min="13" max="13"/>
    <col width="18" customWidth="1" min="14" max="14"/>
    <col width="16" customWidth="1" min="15" max="15"/>
    <col width="28" customWidth="1" min="16" max="16"/>
    <col width="25" customWidth="1" min="17" max="17"/>
    <col width="18" customWidth="1" min="18" max="18"/>
    <col width="25" customWidth="1" min="19" max="19"/>
    <col width="18" customWidth="1" min="20" max="20"/>
    <col width="25" customWidth="1" min="21" max="21"/>
    <col width="16" customWidth="1" min="22" max="22"/>
    <col width="18" customWidth="1" min="23" max="23"/>
    <col width="16" customWidth="1" min="24" max="24"/>
    <col width="15" customWidth="1" min="25" max="25"/>
    <col width="25" customWidth="1" min="26" max="26"/>
    <col width="25" customWidth="1" min="27" max="27"/>
    <col width="18" customWidth="1" min="28" max="28"/>
    <col width="16" customWidth="1" min="29" max="29"/>
    <col width="25" customWidth="1" min="30" max="30"/>
    <col width="15" customWidth="1" min="31" max="31"/>
    <col width="16" customWidth="1" min="32" max="32"/>
    <col width="18" customWidth="1" min="33" max="33"/>
  </cols>
  <sheetData>
    <row r="1" ht="22" customHeight="1">
      <c r="A1" s="19" t="inlineStr">
        <is>
          <t>ID VIDEO</t>
        </is>
      </c>
      <c r="C1" s="41" t="inlineStr">
        <is>
          <t>🎯  HOOK – 5 GIÂY ĐẦU  (Trọng số 45%)</t>
        </is>
      </c>
      <c r="P1" s="21" t="inlineStr">
        <is>
          <t>📣  THÂN BÀI – NỘI DUNG CHÍNH  (Trọng số 35%)</t>
        </is>
      </c>
      <c r="AA1" s="42" t="inlineStr">
        <is>
          <t>✅  KẾT / CTA  (Trọng số 20%)</t>
        </is>
      </c>
    </row>
    <row r="2" ht="45" customHeight="1">
      <c r="A2" s="43" t="inlineStr">
        <is>
          <t>STT</t>
        </is>
      </c>
      <c r="B2" s="43" t="inlineStr">
        <is>
          <t>Link Video (tham chiếu)</t>
        </is>
      </c>
      <c r="C2" s="44" t="inlineStr">
        <is>
          <t>Lời thoại / Voice-over (5s)</t>
        </is>
      </c>
      <c r="D2" s="44" t="inlineStr">
        <is>
          <t>Góc máy</t>
        </is>
      </c>
      <c r="E2" s="44" t="inlineStr">
        <is>
          <t>Hành động chính</t>
        </is>
      </c>
      <c r="F2" s="44" t="inlineStr">
        <is>
          <t>Âm thanh / Nhạc nền</t>
        </is>
      </c>
      <c r="G2" s="44" t="inlineStr">
        <is>
          <t>Diễn viên / Nhân vật</t>
        </is>
      </c>
      <c r="H2" s="44" t="inlineStr">
        <is>
          <t>Bối cảnh / Setting</t>
        </is>
      </c>
      <c r="I2" s="44" t="inlineStr">
        <is>
          <t>Trang phục</t>
        </is>
      </c>
      <c r="J2" s="44" t="inlineStr">
        <is>
          <t>Pain point đề cập</t>
        </is>
      </c>
      <c r="K2" s="44" t="inlineStr">
        <is>
          <t>Có gây tò mò? (Y/N)</t>
        </is>
      </c>
      <c r="L2" s="44" t="inlineStr">
        <is>
          <t>Điểm Hook (1-10)</t>
        </is>
      </c>
      <c r="M2" s="44" t="inlineStr">
        <is>
          <t>Lý do điểm Hook</t>
        </is>
      </c>
      <c r="N2" s="44" t="inlineStr">
        <is>
          <t>Điểm gãy Hook?</t>
        </is>
      </c>
      <c r="O2" s="44" t="inlineStr">
        <is>
          <t>Timestamp điểm gãy</t>
        </is>
      </c>
      <c r="P2" s="45" t="inlineStr">
        <is>
          <t>Nội dung chính truyền đạt</t>
        </is>
      </c>
      <c r="Q2" s="45" t="inlineStr">
        <is>
          <t>Bằng chứng / Social proof</t>
        </is>
      </c>
      <c r="R2" s="45" t="inlineStr">
        <is>
          <t>So sánh sản phẩm (Y/N)</t>
        </is>
      </c>
      <c r="S2" s="45" t="inlineStr">
        <is>
          <t>Cách so sánh</t>
        </is>
      </c>
      <c r="T2" s="45" t="inlineStr">
        <is>
          <t>Điểm gãy thân bài (Y/N)</t>
        </is>
      </c>
      <c r="U2" s="45" t="inlineStr">
        <is>
          <t>Mô tả điểm gãy</t>
        </is>
      </c>
      <c r="V2" s="45" t="inlineStr">
        <is>
          <t>Timestamp điểm gãy</t>
        </is>
      </c>
      <c r="W2" s="45" t="inlineStr">
        <is>
          <t>Âm thanh thân bài</t>
        </is>
      </c>
      <c r="X2" s="45" t="inlineStr">
        <is>
          <t>Góc máy thân bài</t>
        </is>
      </c>
      <c r="Y2" s="45" t="inlineStr">
        <is>
          <t>Điểm thân bài (1-10)</t>
        </is>
      </c>
      <c r="Z2" s="45" t="inlineStr">
        <is>
          <t>Lý do điểm thân bài</t>
        </is>
      </c>
      <c r="AA2" s="46" t="inlineStr">
        <is>
          <t>Nội dung chốt vấn đề</t>
        </is>
      </c>
      <c r="AB2" s="46" t="inlineStr">
        <is>
          <t>Loại CTA</t>
        </is>
      </c>
      <c r="AC2" s="46" t="inlineStr">
        <is>
          <t>CTA rõ ràng? (Y/N)</t>
        </is>
      </c>
      <c r="AD2" s="46" t="inlineStr">
        <is>
          <t>Nội dung CTA</t>
        </is>
      </c>
      <c r="AE2" s="46" t="inlineStr">
        <is>
          <t>Điểm CTA (1-10)</t>
        </is>
      </c>
      <c r="AF2" s="46" t="inlineStr">
        <is>
          <t>Điểm KẾT tổng (1-10)</t>
        </is>
      </c>
      <c r="AG2" s="46" t="inlineStr">
        <is>
          <t>Điểm Nội dung (Auto)</t>
        </is>
      </c>
    </row>
    <row r="3" ht="30" customHeight="1">
      <c r="A3" s="47" t="n">
        <v>1</v>
      </c>
      <c r="B3" s="47" t="inlineStr">
        <is>
          <t>Video 001</t>
        </is>
      </c>
      <c r="C3" s="48" t="inlineStr">
        <is>
          <t>Bạn có biết protein từ thực vật vừa đủ vừa sạch?</t>
        </is>
      </c>
      <c r="D3" s="47" t="inlineStr">
        <is>
          <t>Close-up mặt</t>
        </is>
      </c>
      <c r="E3" s="48" t="inlineStr">
        <is>
          <t>Cầm hộp sản phẩm</t>
        </is>
      </c>
      <c r="F3" s="47" t="inlineStr">
        <is>
          <t>Nhạc lo-fi nhẹ</t>
        </is>
      </c>
      <c r="G3" s="47" t="inlineStr">
        <is>
          <t>Cô gái 25t</t>
        </is>
      </c>
      <c r="H3" s="47" t="inlineStr">
        <is>
          <t>Bếp hiện đại</t>
        </is>
      </c>
      <c r="I3" s="47" t="inlineStr">
        <is>
          <t>Áo trắng casual</t>
        </is>
      </c>
      <c r="J3" s="48" t="inlineStr">
        <is>
          <t>Thiếu protein khi ăn chay</t>
        </is>
      </c>
      <c r="K3" s="47" t="inlineStr">
        <is>
          <t>Y</t>
        </is>
      </c>
      <c r="L3" s="47" t="n">
        <v>8</v>
      </c>
      <c r="M3" s="48" t="inlineStr">
        <is>
          <t>Hook tốt vì câu hỏi gây tò mò ngay</t>
        </is>
      </c>
      <c r="N3" s="47" t="inlineStr">
        <is>
          <t>N</t>
        </is>
      </c>
      <c r="O3" s="47" t="inlineStr"/>
      <c r="P3" s="48" t="inlineStr">
        <is>
          <t>Giải thích 3 lợi ích chính của sản phẩm</t>
        </is>
      </c>
      <c r="Q3" s="48" t="inlineStr">
        <is>
          <t>Review của 500 khách hàng</t>
        </is>
      </c>
      <c r="R3" s="47" t="inlineStr">
        <is>
          <t>Y</t>
        </is>
      </c>
      <c r="S3" s="48" t="inlineStr">
        <is>
          <t>So sánh với whey protein động vật</t>
        </is>
      </c>
      <c r="T3" s="47" t="inlineStr">
        <is>
          <t>N</t>
        </is>
      </c>
      <c r="U3" s="48" t="inlineStr"/>
      <c r="V3" s="47" t="inlineStr"/>
      <c r="W3" s="47" t="inlineStr">
        <is>
          <t>Nhạc tăng dần</t>
        </is>
      </c>
      <c r="X3" s="47" t="inlineStr">
        <is>
          <t>Mid-shot</t>
        </is>
      </c>
      <c r="Y3" s="47" t="n">
        <v>7</v>
      </c>
      <c r="Z3" s="48" t="inlineStr">
        <is>
          <t>Thông tin đủ nhưng hơi dài</t>
        </is>
      </c>
      <c r="AA3" s="48" t="inlineStr">
        <is>
          <t>Sản phẩm giải quyết đúng pain point</t>
        </is>
      </c>
      <c r="AB3" s="47" t="inlineStr">
        <is>
          <t>Swipe up mua ngay</t>
        </is>
      </c>
      <c r="AC3" s="47" t="inlineStr">
        <is>
          <t>Y</t>
        </is>
      </c>
      <c r="AD3" s="48" t="inlineStr">
        <is>
          <t>Link bio – giảm 20% hôm nay</t>
        </is>
      </c>
      <c r="AE3" s="47" t="n">
        <v>9</v>
      </c>
      <c r="AF3" s="47" t="n">
        <v>8</v>
      </c>
      <c r="AG3" s="49">
        <f>IFERROR(L3*0.45+Y3*0.35+AF3*0.20,"")</f>
        <v/>
      </c>
    </row>
    <row r="4" ht="25" customHeight="1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Y4" s="39" t="n"/>
      <c r="Z4" s="39" t="n"/>
      <c r="AA4" s="39" t="n"/>
      <c r="AB4" s="39" t="n"/>
      <c r="AC4" s="39" t="n"/>
      <c r="AD4" s="39" t="n"/>
      <c r="AE4" s="39" t="n"/>
      <c r="AF4" s="39" t="n"/>
      <c r="AG4" s="50">
        <f>IFERROR(L4*0.45+Y4*0.35+AF4*0.20,"")</f>
        <v/>
      </c>
    </row>
    <row r="5" ht="25" customHeight="1">
      <c r="A5" s="40" t="n"/>
      <c r="B5" s="40" t="n"/>
      <c r="C5" s="40" t="n"/>
      <c r="D5" s="40" t="n"/>
      <c r="E5" s="40" t="n"/>
      <c r="F5" s="40" t="n"/>
      <c r="G5" s="40" t="n"/>
      <c r="H5" s="40" t="n"/>
      <c r="I5" s="40" t="n"/>
      <c r="J5" s="40" t="n"/>
      <c r="K5" s="40" t="n"/>
      <c r="L5" s="40" t="n"/>
      <c r="M5" s="40" t="n"/>
      <c r="N5" s="40" t="n"/>
      <c r="O5" s="40" t="n"/>
      <c r="P5" s="40" t="n"/>
      <c r="Q5" s="40" t="n"/>
      <c r="R5" s="40" t="n"/>
      <c r="S5" s="40" t="n"/>
      <c r="T5" s="40" t="n"/>
      <c r="U5" s="40" t="n"/>
      <c r="V5" s="40" t="n"/>
      <c r="W5" s="40" t="n"/>
      <c r="X5" s="40" t="n"/>
      <c r="Y5" s="40" t="n"/>
      <c r="Z5" s="40" t="n"/>
      <c r="AA5" s="40" t="n"/>
      <c r="AB5" s="40" t="n"/>
      <c r="AC5" s="40" t="n"/>
      <c r="AD5" s="40" t="n"/>
      <c r="AE5" s="40" t="n"/>
      <c r="AF5" s="40" t="n"/>
      <c r="AG5" s="51">
        <f>IFERROR(L5*0.45+Y5*0.35+AF5*0.20,"")</f>
        <v/>
      </c>
    </row>
    <row r="6" ht="25" customHeight="1">
      <c r="A6" s="39" t="n"/>
      <c r="B6" s="39" t="n"/>
      <c r="C6" s="39" t="n"/>
      <c r="D6" s="39" t="n"/>
      <c r="E6" s="39" t="n"/>
      <c r="F6" s="39" t="n"/>
      <c r="G6" s="39" t="n"/>
      <c r="H6" s="39" t="n"/>
      <c r="I6" s="39" t="n"/>
      <c r="J6" s="39" t="n"/>
      <c r="K6" s="39" t="n"/>
      <c r="L6" s="39" t="n"/>
      <c r="M6" s="39" t="n"/>
      <c r="N6" s="39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39" t="n"/>
      <c r="AA6" s="39" t="n"/>
      <c r="AB6" s="39" t="n"/>
      <c r="AC6" s="39" t="n"/>
      <c r="AD6" s="39" t="n"/>
      <c r="AE6" s="39" t="n"/>
      <c r="AF6" s="39" t="n"/>
      <c r="AG6" s="50">
        <f>IFERROR(L6*0.45+Y6*0.35+AF6*0.20,"")</f>
        <v/>
      </c>
    </row>
    <row r="7" ht="25" customHeight="1">
      <c r="A7" s="40" t="n"/>
      <c r="B7" s="40" t="n"/>
      <c r="C7" s="40" t="n"/>
      <c r="D7" s="40" t="n"/>
      <c r="E7" s="40" t="n"/>
      <c r="F7" s="40" t="n"/>
      <c r="G7" s="40" t="n"/>
      <c r="H7" s="40" t="n"/>
      <c r="I7" s="40" t="n"/>
      <c r="J7" s="40" t="n"/>
      <c r="K7" s="40" t="n"/>
      <c r="L7" s="40" t="n"/>
      <c r="M7" s="40" t="n"/>
      <c r="N7" s="40" t="n"/>
      <c r="O7" s="40" t="n"/>
      <c r="P7" s="40" t="n"/>
      <c r="Q7" s="40" t="n"/>
      <c r="R7" s="40" t="n"/>
      <c r="S7" s="40" t="n"/>
      <c r="T7" s="40" t="n"/>
      <c r="U7" s="40" t="n"/>
      <c r="V7" s="40" t="n"/>
      <c r="W7" s="40" t="n"/>
      <c r="X7" s="40" t="n"/>
      <c r="Y7" s="40" t="n"/>
      <c r="Z7" s="40" t="n"/>
      <c r="AA7" s="40" t="n"/>
      <c r="AB7" s="40" t="n"/>
      <c r="AC7" s="40" t="n"/>
      <c r="AD7" s="40" t="n"/>
      <c r="AE7" s="40" t="n"/>
      <c r="AF7" s="40" t="n"/>
      <c r="AG7" s="51">
        <f>IFERROR(L7*0.45+Y7*0.35+AF7*0.20,"")</f>
        <v/>
      </c>
    </row>
    <row r="8" ht="25" customHeight="1">
      <c r="A8" s="39" t="n"/>
      <c r="B8" s="39" t="n"/>
      <c r="C8" s="39" t="n"/>
      <c r="D8" s="39" t="n"/>
      <c r="E8" s="39" t="n"/>
      <c r="F8" s="39" t="n"/>
      <c r="G8" s="39" t="n"/>
      <c r="H8" s="39" t="n"/>
      <c r="I8" s="39" t="n"/>
      <c r="J8" s="39" t="n"/>
      <c r="K8" s="39" t="n"/>
      <c r="L8" s="39" t="n"/>
      <c r="M8" s="39" t="n"/>
      <c r="N8" s="39" t="n"/>
      <c r="O8" s="39" t="n"/>
      <c r="P8" s="39" t="n"/>
      <c r="Q8" s="39" t="n"/>
      <c r="R8" s="39" t="n"/>
      <c r="S8" s="39" t="n"/>
      <c r="T8" s="39" t="n"/>
      <c r="U8" s="39" t="n"/>
      <c r="V8" s="39" t="n"/>
      <c r="W8" s="39" t="n"/>
      <c r="X8" s="39" t="n"/>
      <c r="Y8" s="39" t="n"/>
      <c r="Z8" s="39" t="n"/>
      <c r="AA8" s="39" t="n"/>
      <c r="AB8" s="39" t="n"/>
      <c r="AC8" s="39" t="n"/>
      <c r="AD8" s="39" t="n"/>
      <c r="AE8" s="39" t="n"/>
      <c r="AF8" s="39" t="n"/>
      <c r="AG8" s="50">
        <f>IFERROR(L8*0.45+Y8*0.35+AF8*0.20,"")</f>
        <v/>
      </c>
    </row>
    <row r="9" ht="25" customHeight="1">
      <c r="A9" s="40" t="n"/>
      <c r="B9" s="40" t="n"/>
      <c r="C9" s="40" t="n"/>
      <c r="D9" s="40" t="n"/>
      <c r="E9" s="40" t="n"/>
      <c r="F9" s="40" t="n"/>
      <c r="G9" s="40" t="n"/>
      <c r="H9" s="40" t="n"/>
      <c r="I9" s="40" t="n"/>
      <c r="J9" s="40" t="n"/>
      <c r="K9" s="40" t="n"/>
      <c r="L9" s="40" t="n"/>
      <c r="M9" s="40" t="n"/>
      <c r="N9" s="40" t="n"/>
      <c r="O9" s="40" t="n"/>
      <c r="P9" s="40" t="n"/>
      <c r="Q9" s="40" t="n"/>
      <c r="R9" s="40" t="n"/>
      <c r="S9" s="40" t="n"/>
      <c r="T9" s="40" t="n"/>
      <c r="U9" s="40" t="n"/>
      <c r="V9" s="40" t="n"/>
      <c r="W9" s="40" t="n"/>
      <c r="X9" s="40" t="n"/>
      <c r="Y9" s="40" t="n"/>
      <c r="Z9" s="40" t="n"/>
      <c r="AA9" s="40" t="n"/>
      <c r="AB9" s="40" t="n"/>
      <c r="AC9" s="40" t="n"/>
      <c r="AD9" s="40" t="n"/>
      <c r="AE9" s="40" t="n"/>
      <c r="AF9" s="40" t="n"/>
      <c r="AG9" s="51">
        <f>IFERROR(L9*0.45+Y9*0.35+AF9*0.20,"")</f>
        <v/>
      </c>
    </row>
    <row r="10" ht="25" customHeight="1">
      <c r="A10" s="39" t="n"/>
      <c r="B10" s="39" t="n"/>
      <c r="C10" s="39" t="n"/>
      <c r="D10" s="39" t="n"/>
      <c r="E10" s="39" t="n"/>
      <c r="F10" s="39" t="n"/>
      <c r="G10" s="39" t="n"/>
      <c r="H10" s="39" t="n"/>
      <c r="I10" s="39" t="n"/>
      <c r="J10" s="39" t="n"/>
      <c r="K10" s="39" t="n"/>
      <c r="L10" s="39" t="n"/>
      <c r="M10" s="39" t="n"/>
      <c r="N10" s="39" t="n"/>
      <c r="O10" s="39" t="n"/>
      <c r="P10" s="39" t="n"/>
      <c r="Q10" s="39" t="n"/>
      <c r="R10" s="39" t="n"/>
      <c r="S10" s="39" t="n"/>
      <c r="T10" s="39" t="n"/>
      <c r="U10" s="39" t="n"/>
      <c r="V10" s="39" t="n"/>
      <c r="W10" s="39" t="n"/>
      <c r="X10" s="39" t="n"/>
      <c r="Y10" s="39" t="n"/>
      <c r="Z10" s="39" t="n"/>
      <c r="AA10" s="39" t="n"/>
      <c r="AB10" s="39" t="n"/>
      <c r="AC10" s="39" t="n"/>
      <c r="AD10" s="39" t="n"/>
      <c r="AE10" s="39" t="n"/>
      <c r="AF10" s="39" t="n"/>
      <c r="AG10" s="50">
        <f>IFERROR(L10*0.45+Y10*0.35+AF10*0.20,"")</f>
        <v/>
      </c>
    </row>
    <row r="11" ht="25" customHeight="1">
      <c r="A11" s="40" t="n"/>
      <c r="B11" s="40" t="n"/>
      <c r="C11" s="40" t="n"/>
      <c r="D11" s="40" t="n"/>
      <c r="E11" s="40" t="n"/>
      <c r="F11" s="40" t="n"/>
      <c r="G11" s="40" t="n"/>
      <c r="H11" s="40" t="n"/>
      <c r="I11" s="40" t="n"/>
      <c r="J11" s="40" t="n"/>
      <c r="K11" s="40" t="n"/>
      <c r="L11" s="40" t="n"/>
      <c r="M11" s="40" t="n"/>
      <c r="N11" s="40" t="n"/>
      <c r="O11" s="40" t="n"/>
      <c r="P11" s="40" t="n"/>
      <c r="Q11" s="40" t="n"/>
      <c r="R11" s="40" t="n"/>
      <c r="S11" s="40" t="n"/>
      <c r="T11" s="40" t="n"/>
      <c r="U11" s="40" t="n"/>
      <c r="V11" s="40" t="n"/>
      <c r="W11" s="40" t="n"/>
      <c r="X11" s="40" t="n"/>
      <c r="Y11" s="40" t="n"/>
      <c r="Z11" s="40" t="n"/>
      <c r="AA11" s="40" t="n"/>
      <c r="AB11" s="40" t="n"/>
      <c r="AC11" s="40" t="n"/>
      <c r="AD11" s="40" t="n"/>
      <c r="AE11" s="40" t="n"/>
      <c r="AF11" s="40" t="n"/>
      <c r="AG11" s="51">
        <f>IFERROR(L11*0.45+Y11*0.35+AF11*0.20,"")</f>
        <v/>
      </c>
    </row>
    <row r="12" ht="25" customHeight="1">
      <c r="A12" s="39" t="n"/>
      <c r="B12" s="39" t="n"/>
      <c r="C12" s="39" t="n"/>
      <c r="D12" s="39" t="n"/>
      <c r="E12" s="39" t="n"/>
      <c r="F12" s="39" t="n"/>
      <c r="G12" s="39" t="n"/>
      <c r="H12" s="39" t="n"/>
      <c r="I12" s="39" t="n"/>
      <c r="J12" s="39" t="n"/>
      <c r="K12" s="39" t="n"/>
      <c r="L12" s="39" t="n"/>
      <c r="M12" s="39" t="n"/>
      <c r="N12" s="39" t="n"/>
      <c r="O12" s="39" t="n"/>
      <c r="P12" s="39" t="n"/>
      <c r="Q12" s="39" t="n"/>
      <c r="R12" s="39" t="n"/>
      <c r="S12" s="39" t="n"/>
      <c r="T12" s="39" t="n"/>
      <c r="U12" s="39" t="n"/>
      <c r="V12" s="39" t="n"/>
      <c r="W12" s="39" t="n"/>
      <c r="X12" s="39" t="n"/>
      <c r="Y12" s="39" t="n"/>
      <c r="Z12" s="39" t="n"/>
      <c r="AA12" s="39" t="n"/>
      <c r="AB12" s="39" t="n"/>
      <c r="AC12" s="39" t="n"/>
      <c r="AD12" s="39" t="n"/>
      <c r="AE12" s="39" t="n"/>
      <c r="AF12" s="39" t="n"/>
      <c r="AG12" s="50">
        <f>IFERROR(L12*0.45+Y12*0.35+AF12*0.20,"")</f>
        <v/>
      </c>
    </row>
    <row r="13" ht="25" customHeight="1">
      <c r="A13" s="40" t="n"/>
      <c r="B13" s="40" t="n"/>
      <c r="C13" s="40" t="n"/>
      <c r="D13" s="40" t="n"/>
      <c r="E13" s="40" t="n"/>
      <c r="F13" s="40" t="n"/>
      <c r="G13" s="40" t="n"/>
      <c r="H13" s="40" t="n"/>
      <c r="I13" s="40" t="n"/>
      <c r="J13" s="40" t="n"/>
      <c r="K13" s="40" t="n"/>
      <c r="L13" s="40" t="n"/>
      <c r="M13" s="40" t="n"/>
      <c r="N13" s="40" t="n"/>
      <c r="O13" s="40" t="n"/>
      <c r="P13" s="40" t="n"/>
      <c r="Q13" s="40" t="n"/>
      <c r="R13" s="40" t="n"/>
      <c r="S13" s="40" t="n"/>
      <c r="T13" s="40" t="n"/>
      <c r="U13" s="40" t="n"/>
      <c r="V13" s="40" t="n"/>
      <c r="W13" s="40" t="n"/>
      <c r="X13" s="40" t="n"/>
      <c r="Y13" s="40" t="n"/>
      <c r="Z13" s="40" t="n"/>
      <c r="AA13" s="40" t="n"/>
      <c r="AB13" s="40" t="n"/>
      <c r="AC13" s="40" t="n"/>
      <c r="AD13" s="40" t="n"/>
      <c r="AE13" s="40" t="n"/>
      <c r="AF13" s="40" t="n"/>
      <c r="AG13" s="51">
        <f>IFERROR(L13*0.45+Y13*0.35+AF13*0.20,"")</f>
        <v/>
      </c>
    </row>
    <row r="14" ht="25" customHeight="1">
      <c r="A14" s="39" t="n"/>
      <c r="B14" s="39" t="n"/>
      <c r="C14" s="39" t="n"/>
      <c r="D14" s="39" t="n"/>
      <c r="E14" s="39" t="n"/>
      <c r="F14" s="39" t="n"/>
      <c r="G14" s="39" t="n"/>
      <c r="H14" s="39" t="n"/>
      <c r="I14" s="39" t="n"/>
      <c r="J14" s="39" t="n"/>
      <c r="K14" s="39" t="n"/>
      <c r="L14" s="39" t="n"/>
      <c r="M14" s="39" t="n"/>
      <c r="N14" s="39" t="n"/>
      <c r="O14" s="39" t="n"/>
      <c r="P14" s="39" t="n"/>
      <c r="Q14" s="39" t="n"/>
      <c r="R14" s="39" t="n"/>
      <c r="S14" s="39" t="n"/>
      <c r="T14" s="39" t="n"/>
      <c r="U14" s="39" t="n"/>
      <c r="V14" s="39" t="n"/>
      <c r="W14" s="39" t="n"/>
      <c r="X14" s="39" t="n"/>
      <c r="Y14" s="39" t="n"/>
      <c r="Z14" s="39" t="n"/>
      <c r="AA14" s="39" t="n"/>
      <c r="AB14" s="39" t="n"/>
      <c r="AC14" s="39" t="n"/>
      <c r="AD14" s="39" t="n"/>
      <c r="AE14" s="39" t="n"/>
      <c r="AF14" s="39" t="n"/>
      <c r="AG14" s="50">
        <f>IFERROR(L14*0.45+Y14*0.35+AF14*0.20,"")</f>
        <v/>
      </c>
    </row>
    <row r="15" ht="25" customHeight="1">
      <c r="A15" s="40" t="n"/>
      <c r="B15" s="40" t="n"/>
      <c r="C15" s="40" t="n"/>
      <c r="D15" s="40" t="n"/>
      <c r="E15" s="40" t="n"/>
      <c r="F15" s="40" t="n"/>
      <c r="G15" s="40" t="n"/>
      <c r="H15" s="40" t="n"/>
      <c r="I15" s="40" t="n"/>
      <c r="J15" s="40" t="n"/>
      <c r="K15" s="40" t="n"/>
      <c r="L15" s="40" t="n"/>
      <c r="M15" s="40" t="n"/>
      <c r="N15" s="40" t="n"/>
      <c r="O15" s="40" t="n"/>
      <c r="P15" s="40" t="n"/>
      <c r="Q15" s="40" t="n"/>
      <c r="R15" s="40" t="n"/>
      <c r="S15" s="40" t="n"/>
      <c r="T15" s="40" t="n"/>
      <c r="U15" s="40" t="n"/>
      <c r="V15" s="40" t="n"/>
      <c r="W15" s="40" t="n"/>
      <c r="X15" s="40" t="n"/>
      <c r="Y15" s="40" t="n"/>
      <c r="Z15" s="40" t="n"/>
      <c r="AA15" s="40" t="n"/>
      <c r="AB15" s="40" t="n"/>
      <c r="AC15" s="40" t="n"/>
      <c r="AD15" s="40" t="n"/>
      <c r="AE15" s="40" t="n"/>
      <c r="AF15" s="40" t="n"/>
      <c r="AG15" s="51">
        <f>IFERROR(L15*0.45+Y15*0.35+AF15*0.20,"")</f>
        <v/>
      </c>
    </row>
    <row r="16" ht="25" customHeight="1">
      <c r="A16" s="39" t="n"/>
      <c r="B16" s="39" t="n"/>
      <c r="C16" s="39" t="n"/>
      <c r="D16" s="39" t="n"/>
      <c r="E16" s="39" t="n"/>
      <c r="F16" s="39" t="n"/>
      <c r="G16" s="39" t="n"/>
      <c r="H16" s="39" t="n"/>
      <c r="I16" s="39" t="n"/>
      <c r="J16" s="39" t="n"/>
      <c r="K16" s="39" t="n"/>
      <c r="L16" s="39" t="n"/>
      <c r="M16" s="39" t="n"/>
      <c r="N16" s="39" t="n"/>
      <c r="O16" s="39" t="n"/>
      <c r="P16" s="39" t="n"/>
      <c r="Q16" s="39" t="n"/>
      <c r="R16" s="39" t="n"/>
      <c r="S16" s="39" t="n"/>
      <c r="T16" s="39" t="n"/>
      <c r="U16" s="39" t="n"/>
      <c r="V16" s="39" t="n"/>
      <c r="W16" s="39" t="n"/>
      <c r="X16" s="39" t="n"/>
      <c r="Y16" s="39" t="n"/>
      <c r="Z16" s="39" t="n"/>
      <c r="AA16" s="39" t="n"/>
      <c r="AB16" s="39" t="n"/>
      <c r="AC16" s="39" t="n"/>
      <c r="AD16" s="39" t="n"/>
      <c r="AE16" s="39" t="n"/>
      <c r="AF16" s="39" t="n"/>
      <c r="AG16" s="50">
        <f>IFERROR(L16*0.45+Y16*0.35+AF16*0.20,"")</f>
        <v/>
      </c>
    </row>
    <row r="17" ht="25" customHeight="1">
      <c r="A17" s="40" t="n"/>
      <c r="B17" s="40" t="n"/>
      <c r="C17" s="40" t="n"/>
      <c r="D17" s="40" t="n"/>
      <c r="E17" s="40" t="n"/>
      <c r="F17" s="40" t="n"/>
      <c r="G17" s="40" t="n"/>
      <c r="H17" s="40" t="n"/>
      <c r="I17" s="40" t="n"/>
      <c r="J17" s="40" t="n"/>
      <c r="K17" s="40" t="n"/>
      <c r="L17" s="40" t="n"/>
      <c r="M17" s="40" t="n"/>
      <c r="N17" s="40" t="n"/>
      <c r="O17" s="40" t="n"/>
      <c r="P17" s="40" t="n"/>
      <c r="Q17" s="40" t="n"/>
      <c r="R17" s="40" t="n"/>
      <c r="S17" s="40" t="n"/>
      <c r="T17" s="40" t="n"/>
      <c r="U17" s="40" t="n"/>
      <c r="V17" s="40" t="n"/>
      <c r="W17" s="40" t="n"/>
      <c r="X17" s="40" t="n"/>
      <c r="Y17" s="40" t="n"/>
      <c r="Z17" s="40" t="n"/>
      <c r="AA17" s="40" t="n"/>
      <c r="AB17" s="40" t="n"/>
      <c r="AC17" s="40" t="n"/>
      <c r="AD17" s="40" t="n"/>
      <c r="AE17" s="40" t="n"/>
      <c r="AF17" s="40" t="n"/>
      <c r="AG17" s="51">
        <f>IFERROR(L17*0.45+Y17*0.35+AF17*0.20,"")</f>
        <v/>
      </c>
    </row>
    <row r="18" ht="25" customHeight="1">
      <c r="A18" s="39" t="n"/>
      <c r="B18" s="39" t="n"/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39" t="n"/>
      <c r="P18" s="39" t="n"/>
      <c r="Q18" s="39" t="n"/>
      <c r="R18" s="39" t="n"/>
      <c r="S18" s="39" t="n"/>
      <c r="T18" s="39" t="n"/>
      <c r="U18" s="39" t="n"/>
      <c r="V18" s="39" t="n"/>
      <c r="W18" s="39" t="n"/>
      <c r="X18" s="39" t="n"/>
      <c r="Y18" s="39" t="n"/>
      <c r="Z18" s="39" t="n"/>
      <c r="AA18" s="39" t="n"/>
      <c r="AB18" s="39" t="n"/>
      <c r="AC18" s="39" t="n"/>
      <c r="AD18" s="39" t="n"/>
      <c r="AE18" s="39" t="n"/>
      <c r="AF18" s="39" t="n"/>
      <c r="AG18" s="50">
        <f>IFERROR(L18*0.45+Y18*0.35+AF18*0.20,"")</f>
        <v/>
      </c>
    </row>
    <row r="19" ht="25" customHeight="1">
      <c r="A19" s="40" t="n"/>
      <c r="B19" s="40" t="n"/>
      <c r="C19" s="40" t="n"/>
      <c r="D19" s="40" t="n"/>
      <c r="E19" s="40" t="n"/>
      <c r="F19" s="40" t="n"/>
      <c r="G19" s="40" t="n"/>
      <c r="H19" s="40" t="n"/>
      <c r="I19" s="40" t="n"/>
      <c r="J19" s="40" t="n"/>
      <c r="K19" s="40" t="n"/>
      <c r="L19" s="40" t="n"/>
      <c r="M19" s="40" t="n"/>
      <c r="N19" s="40" t="n"/>
      <c r="O19" s="40" t="n"/>
      <c r="P19" s="40" t="n"/>
      <c r="Q19" s="40" t="n"/>
      <c r="R19" s="40" t="n"/>
      <c r="S19" s="40" t="n"/>
      <c r="T19" s="40" t="n"/>
      <c r="U19" s="40" t="n"/>
      <c r="V19" s="40" t="n"/>
      <c r="W19" s="40" t="n"/>
      <c r="X19" s="40" t="n"/>
      <c r="Y19" s="40" t="n"/>
      <c r="Z19" s="40" t="n"/>
      <c r="AA19" s="40" t="n"/>
      <c r="AB19" s="40" t="n"/>
      <c r="AC19" s="40" t="n"/>
      <c r="AD19" s="40" t="n"/>
      <c r="AE19" s="40" t="n"/>
      <c r="AF19" s="40" t="n"/>
      <c r="AG19" s="51">
        <f>IFERROR(L19*0.45+Y19*0.35+AF19*0.20,"")</f>
        <v/>
      </c>
    </row>
    <row r="20" ht="25" customHeight="1">
      <c r="A20" s="39" t="n"/>
      <c r="B20" s="39" t="n"/>
      <c r="C20" s="39" t="n"/>
      <c r="D20" s="39" t="n"/>
      <c r="E20" s="39" t="n"/>
      <c r="F20" s="39" t="n"/>
      <c r="G20" s="39" t="n"/>
      <c r="H20" s="39" t="n"/>
      <c r="I20" s="39" t="n"/>
      <c r="J20" s="39" t="n"/>
      <c r="K20" s="39" t="n"/>
      <c r="L20" s="39" t="n"/>
      <c r="M20" s="39" t="n"/>
      <c r="N20" s="39" t="n"/>
      <c r="O20" s="39" t="n"/>
      <c r="P20" s="39" t="n"/>
      <c r="Q20" s="39" t="n"/>
      <c r="R20" s="39" t="n"/>
      <c r="S20" s="39" t="n"/>
      <c r="T20" s="39" t="n"/>
      <c r="U20" s="39" t="n"/>
      <c r="V20" s="39" t="n"/>
      <c r="W20" s="39" t="n"/>
      <c r="X20" s="39" t="n"/>
      <c r="Y20" s="39" t="n"/>
      <c r="Z20" s="39" t="n"/>
      <c r="AA20" s="39" t="n"/>
      <c r="AB20" s="39" t="n"/>
      <c r="AC20" s="39" t="n"/>
      <c r="AD20" s="39" t="n"/>
      <c r="AE20" s="39" t="n"/>
      <c r="AF20" s="39" t="n"/>
      <c r="AG20" s="50">
        <f>IFERROR(L20*0.45+Y20*0.35+AF20*0.20,"")</f>
        <v/>
      </c>
    </row>
    <row r="21" ht="25" customHeight="1">
      <c r="A21" s="40" t="n"/>
      <c r="B21" s="40" t="n"/>
      <c r="C21" s="40" t="n"/>
      <c r="D21" s="40" t="n"/>
      <c r="E21" s="40" t="n"/>
      <c r="F21" s="40" t="n"/>
      <c r="G21" s="40" t="n"/>
      <c r="H21" s="40" t="n"/>
      <c r="I21" s="40" t="n"/>
      <c r="J21" s="40" t="n"/>
      <c r="K21" s="40" t="n"/>
      <c r="L21" s="40" t="n"/>
      <c r="M21" s="40" t="n"/>
      <c r="N21" s="40" t="n"/>
      <c r="O21" s="40" t="n"/>
      <c r="P21" s="40" t="n"/>
      <c r="Q21" s="40" t="n"/>
      <c r="R21" s="40" t="n"/>
      <c r="S21" s="40" t="n"/>
      <c r="T21" s="40" t="n"/>
      <c r="U21" s="40" t="n"/>
      <c r="V21" s="40" t="n"/>
      <c r="W21" s="40" t="n"/>
      <c r="X21" s="40" t="n"/>
      <c r="Y21" s="40" t="n"/>
      <c r="Z21" s="40" t="n"/>
      <c r="AA21" s="40" t="n"/>
      <c r="AB21" s="40" t="n"/>
      <c r="AC21" s="40" t="n"/>
      <c r="AD21" s="40" t="n"/>
      <c r="AE21" s="40" t="n"/>
      <c r="AF21" s="40" t="n"/>
      <c r="AG21" s="51">
        <f>IFERROR(L21*0.45+Y21*0.35+AF21*0.20,"")</f>
        <v/>
      </c>
    </row>
    <row r="22" ht="25" customHeight="1">
      <c r="A22" s="39" t="n"/>
      <c r="B22" s="39" t="n"/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39" t="n"/>
      <c r="AB22" s="39" t="n"/>
      <c r="AC22" s="39" t="n"/>
      <c r="AD22" s="39" t="n"/>
      <c r="AE22" s="39" t="n"/>
      <c r="AF22" s="39" t="n"/>
      <c r="AG22" s="50">
        <f>IFERROR(L22*0.45+Y22*0.35+AF22*0.20,"")</f>
        <v/>
      </c>
    </row>
    <row r="23" ht="25" customHeight="1">
      <c r="A23" s="40" t="n"/>
      <c r="B23" s="40" t="n"/>
      <c r="C23" s="40" t="n"/>
      <c r="D23" s="40" t="n"/>
      <c r="E23" s="40" t="n"/>
      <c r="F23" s="40" t="n"/>
      <c r="G23" s="40" t="n"/>
      <c r="H23" s="40" t="n"/>
      <c r="I23" s="40" t="n"/>
      <c r="J23" s="40" t="n"/>
      <c r="K23" s="40" t="n"/>
      <c r="L23" s="40" t="n"/>
      <c r="M23" s="40" t="n"/>
      <c r="N23" s="40" t="n"/>
      <c r="O23" s="40" t="n"/>
      <c r="P23" s="40" t="n"/>
      <c r="Q23" s="40" t="n"/>
      <c r="R23" s="40" t="n"/>
      <c r="S23" s="40" t="n"/>
      <c r="T23" s="40" t="n"/>
      <c r="U23" s="40" t="n"/>
      <c r="V23" s="40" t="n"/>
      <c r="W23" s="40" t="n"/>
      <c r="X23" s="40" t="n"/>
      <c r="Y23" s="40" t="n"/>
      <c r="Z23" s="40" t="n"/>
      <c r="AA23" s="40" t="n"/>
      <c r="AB23" s="40" t="n"/>
      <c r="AC23" s="40" t="n"/>
      <c r="AD23" s="40" t="n"/>
      <c r="AE23" s="40" t="n"/>
      <c r="AF23" s="40" t="n"/>
      <c r="AG23" s="51">
        <f>IFERROR(L23*0.45+Y23*0.35+AF23*0.20,"")</f>
        <v/>
      </c>
    </row>
    <row r="24" ht="25" customHeight="1">
      <c r="A24" s="39" t="n"/>
      <c r="B24" s="39" t="n"/>
      <c r="C24" s="39" t="n"/>
      <c r="D24" s="39" t="n"/>
      <c r="E24" s="39" t="n"/>
      <c r="F24" s="39" t="n"/>
      <c r="G24" s="39" t="n"/>
      <c r="H24" s="39" t="n"/>
      <c r="I24" s="39" t="n"/>
      <c r="J24" s="39" t="n"/>
      <c r="K24" s="39" t="n"/>
      <c r="L24" s="39" t="n"/>
      <c r="M24" s="39" t="n"/>
      <c r="N24" s="39" t="n"/>
      <c r="O24" s="39" t="n"/>
      <c r="P24" s="39" t="n"/>
      <c r="Q24" s="39" t="n"/>
      <c r="R24" s="39" t="n"/>
      <c r="S24" s="39" t="n"/>
      <c r="T24" s="39" t="n"/>
      <c r="U24" s="39" t="n"/>
      <c r="V24" s="39" t="n"/>
      <c r="W24" s="39" t="n"/>
      <c r="X24" s="39" t="n"/>
      <c r="Y24" s="39" t="n"/>
      <c r="Z24" s="39" t="n"/>
      <c r="AA24" s="39" t="n"/>
      <c r="AB24" s="39" t="n"/>
      <c r="AC24" s="39" t="n"/>
      <c r="AD24" s="39" t="n"/>
      <c r="AE24" s="39" t="n"/>
      <c r="AF24" s="39" t="n"/>
      <c r="AG24" s="50">
        <f>IFERROR(L24*0.45+Y24*0.35+AF24*0.20,"")</f>
        <v/>
      </c>
    </row>
    <row r="25" ht="25" customHeight="1">
      <c r="A25" s="40" t="n"/>
      <c r="B25" s="40" t="n"/>
      <c r="C25" s="40" t="n"/>
      <c r="D25" s="40" t="n"/>
      <c r="E25" s="40" t="n"/>
      <c r="F25" s="40" t="n"/>
      <c r="G25" s="40" t="n"/>
      <c r="H25" s="40" t="n"/>
      <c r="I25" s="40" t="n"/>
      <c r="J25" s="40" t="n"/>
      <c r="K25" s="40" t="n"/>
      <c r="L25" s="40" t="n"/>
      <c r="M25" s="40" t="n"/>
      <c r="N25" s="40" t="n"/>
      <c r="O25" s="40" t="n"/>
      <c r="P25" s="40" t="n"/>
      <c r="Q25" s="40" t="n"/>
      <c r="R25" s="40" t="n"/>
      <c r="S25" s="40" t="n"/>
      <c r="T25" s="40" t="n"/>
      <c r="U25" s="40" t="n"/>
      <c r="V25" s="40" t="n"/>
      <c r="W25" s="40" t="n"/>
      <c r="X25" s="40" t="n"/>
      <c r="Y25" s="40" t="n"/>
      <c r="Z25" s="40" t="n"/>
      <c r="AA25" s="40" t="n"/>
      <c r="AB25" s="40" t="n"/>
      <c r="AC25" s="40" t="n"/>
      <c r="AD25" s="40" t="n"/>
      <c r="AE25" s="40" t="n"/>
      <c r="AF25" s="40" t="n"/>
      <c r="AG25" s="51">
        <f>IFERROR(L25*0.45+Y25*0.35+AF25*0.20,"")</f>
        <v/>
      </c>
    </row>
    <row r="26" ht="25" customHeight="1">
      <c r="A26" s="39" t="n"/>
      <c r="B26" s="39" t="n"/>
      <c r="C26" s="39" t="n"/>
      <c r="D26" s="39" t="n"/>
      <c r="E26" s="39" t="n"/>
      <c r="F26" s="39" t="n"/>
      <c r="G26" s="39" t="n"/>
      <c r="H26" s="39" t="n"/>
      <c r="I26" s="39" t="n"/>
      <c r="J26" s="39" t="n"/>
      <c r="K26" s="39" t="n"/>
      <c r="L26" s="39" t="n"/>
      <c r="M26" s="39" t="n"/>
      <c r="N26" s="39" t="n"/>
      <c r="O26" s="39" t="n"/>
      <c r="P26" s="39" t="n"/>
      <c r="Q26" s="39" t="n"/>
      <c r="R26" s="39" t="n"/>
      <c r="S26" s="39" t="n"/>
      <c r="T26" s="39" t="n"/>
      <c r="U26" s="39" t="n"/>
      <c r="V26" s="39" t="n"/>
      <c r="W26" s="39" t="n"/>
      <c r="X26" s="39" t="n"/>
      <c r="Y26" s="39" t="n"/>
      <c r="Z26" s="39" t="n"/>
      <c r="AA26" s="39" t="n"/>
      <c r="AB26" s="39" t="n"/>
      <c r="AC26" s="39" t="n"/>
      <c r="AD26" s="39" t="n"/>
      <c r="AE26" s="39" t="n"/>
      <c r="AF26" s="39" t="n"/>
      <c r="AG26" s="50">
        <f>IFERROR(L26*0.45+Y26*0.35+AF26*0.20,"")</f>
        <v/>
      </c>
    </row>
    <row r="27" ht="25" customHeight="1">
      <c r="A27" s="40" t="n"/>
      <c r="B27" s="40" t="n"/>
      <c r="C27" s="40" t="n"/>
      <c r="D27" s="40" t="n"/>
      <c r="E27" s="40" t="n"/>
      <c r="F27" s="40" t="n"/>
      <c r="G27" s="40" t="n"/>
      <c r="H27" s="40" t="n"/>
      <c r="I27" s="40" t="n"/>
      <c r="J27" s="40" t="n"/>
      <c r="K27" s="40" t="n"/>
      <c r="L27" s="40" t="n"/>
      <c r="M27" s="40" t="n"/>
      <c r="N27" s="40" t="n"/>
      <c r="O27" s="40" t="n"/>
      <c r="P27" s="40" t="n"/>
      <c r="Q27" s="40" t="n"/>
      <c r="R27" s="40" t="n"/>
      <c r="S27" s="40" t="n"/>
      <c r="T27" s="40" t="n"/>
      <c r="U27" s="40" t="n"/>
      <c r="V27" s="40" t="n"/>
      <c r="W27" s="40" t="n"/>
      <c r="X27" s="40" t="n"/>
      <c r="Y27" s="40" t="n"/>
      <c r="Z27" s="40" t="n"/>
      <c r="AA27" s="40" t="n"/>
      <c r="AB27" s="40" t="n"/>
      <c r="AC27" s="40" t="n"/>
      <c r="AD27" s="40" t="n"/>
      <c r="AE27" s="40" t="n"/>
      <c r="AF27" s="40" t="n"/>
      <c r="AG27" s="51">
        <f>IFERROR(L27*0.45+Y27*0.35+AF27*0.20,"")</f>
        <v/>
      </c>
    </row>
    <row r="28" ht="25" customHeight="1">
      <c r="A28" s="39" t="n"/>
      <c r="B28" s="39" t="n"/>
      <c r="C28" s="39" t="n"/>
      <c r="D28" s="39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39" t="n"/>
      <c r="N28" s="39" t="n"/>
      <c r="O28" s="39" t="n"/>
      <c r="P28" s="39" t="n"/>
      <c r="Q28" s="39" t="n"/>
      <c r="R28" s="39" t="n"/>
      <c r="S28" s="39" t="n"/>
      <c r="T28" s="39" t="n"/>
      <c r="U28" s="39" t="n"/>
      <c r="V28" s="39" t="n"/>
      <c r="W28" s="39" t="n"/>
      <c r="X28" s="39" t="n"/>
      <c r="Y28" s="39" t="n"/>
      <c r="Z28" s="39" t="n"/>
      <c r="AA28" s="39" t="n"/>
      <c r="AB28" s="39" t="n"/>
      <c r="AC28" s="39" t="n"/>
      <c r="AD28" s="39" t="n"/>
      <c r="AE28" s="39" t="n"/>
      <c r="AF28" s="39" t="n"/>
      <c r="AG28" s="50">
        <f>IFERROR(L28*0.45+Y28*0.35+AF28*0.20,"")</f>
        <v/>
      </c>
    </row>
    <row r="29" ht="25" customHeight="1">
      <c r="A29" s="40" t="n"/>
      <c r="B29" s="40" t="n"/>
      <c r="C29" s="40" t="n"/>
      <c r="D29" s="40" t="n"/>
      <c r="E29" s="40" t="n"/>
      <c r="F29" s="40" t="n"/>
      <c r="G29" s="40" t="n"/>
      <c r="H29" s="40" t="n"/>
      <c r="I29" s="40" t="n"/>
      <c r="J29" s="40" t="n"/>
      <c r="K29" s="40" t="n"/>
      <c r="L29" s="40" t="n"/>
      <c r="M29" s="40" t="n"/>
      <c r="N29" s="40" t="n"/>
      <c r="O29" s="40" t="n"/>
      <c r="P29" s="40" t="n"/>
      <c r="Q29" s="40" t="n"/>
      <c r="R29" s="40" t="n"/>
      <c r="S29" s="40" t="n"/>
      <c r="T29" s="40" t="n"/>
      <c r="U29" s="40" t="n"/>
      <c r="V29" s="40" t="n"/>
      <c r="W29" s="40" t="n"/>
      <c r="X29" s="40" t="n"/>
      <c r="Y29" s="40" t="n"/>
      <c r="Z29" s="40" t="n"/>
      <c r="AA29" s="40" t="n"/>
      <c r="AB29" s="40" t="n"/>
      <c r="AC29" s="40" t="n"/>
      <c r="AD29" s="40" t="n"/>
      <c r="AE29" s="40" t="n"/>
      <c r="AF29" s="40" t="n"/>
      <c r="AG29" s="51">
        <f>IFERROR(L29*0.45+Y29*0.35+AF29*0.20,"")</f>
        <v/>
      </c>
    </row>
    <row r="30" ht="25" customHeight="1">
      <c r="A30" s="39" t="n"/>
      <c r="B30" s="39" t="n"/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9" t="n"/>
      <c r="N30" s="39" t="n"/>
      <c r="O30" s="39" t="n"/>
      <c r="P30" s="39" t="n"/>
      <c r="Q30" s="39" t="n"/>
      <c r="R30" s="39" t="n"/>
      <c r="S30" s="39" t="n"/>
      <c r="T30" s="39" t="n"/>
      <c r="U30" s="39" t="n"/>
      <c r="V30" s="39" t="n"/>
      <c r="W30" s="39" t="n"/>
      <c r="X30" s="39" t="n"/>
      <c r="Y30" s="39" t="n"/>
      <c r="Z30" s="39" t="n"/>
      <c r="AA30" s="39" t="n"/>
      <c r="AB30" s="39" t="n"/>
      <c r="AC30" s="39" t="n"/>
      <c r="AD30" s="39" t="n"/>
      <c r="AE30" s="39" t="n"/>
      <c r="AF30" s="39" t="n"/>
      <c r="AG30" s="50">
        <f>IFERROR(L30*0.45+Y30*0.35+AF30*0.20,"")</f>
        <v/>
      </c>
    </row>
    <row r="31" ht="25" customHeight="1">
      <c r="A31" s="40" t="n"/>
      <c r="B31" s="40" t="n"/>
      <c r="C31" s="40" t="n"/>
      <c r="D31" s="40" t="n"/>
      <c r="E31" s="40" t="n"/>
      <c r="F31" s="40" t="n"/>
      <c r="G31" s="40" t="n"/>
      <c r="H31" s="40" t="n"/>
      <c r="I31" s="40" t="n"/>
      <c r="J31" s="40" t="n"/>
      <c r="K31" s="40" t="n"/>
      <c r="L31" s="40" t="n"/>
      <c r="M31" s="40" t="n"/>
      <c r="N31" s="40" t="n"/>
      <c r="O31" s="40" t="n"/>
      <c r="P31" s="40" t="n"/>
      <c r="Q31" s="40" t="n"/>
      <c r="R31" s="40" t="n"/>
      <c r="S31" s="40" t="n"/>
      <c r="T31" s="40" t="n"/>
      <c r="U31" s="40" t="n"/>
      <c r="V31" s="40" t="n"/>
      <c r="W31" s="40" t="n"/>
      <c r="X31" s="40" t="n"/>
      <c r="Y31" s="40" t="n"/>
      <c r="Z31" s="40" t="n"/>
      <c r="AA31" s="40" t="n"/>
      <c r="AB31" s="40" t="n"/>
      <c r="AC31" s="40" t="n"/>
      <c r="AD31" s="40" t="n"/>
      <c r="AE31" s="40" t="n"/>
      <c r="AF31" s="40" t="n"/>
      <c r="AG31" s="51">
        <f>IFERROR(L31*0.45+Y31*0.35+AF31*0.20,"")</f>
        <v/>
      </c>
    </row>
    <row r="32" ht="25" customHeight="1">
      <c r="A32" s="39" t="n"/>
      <c r="B32" s="39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39" t="n"/>
      <c r="L32" s="39" t="n"/>
      <c r="M32" s="39" t="n"/>
      <c r="N32" s="39" t="n"/>
      <c r="O32" s="39" t="n"/>
      <c r="P32" s="39" t="n"/>
      <c r="Q32" s="39" t="n"/>
      <c r="R32" s="39" t="n"/>
      <c r="S32" s="39" t="n"/>
      <c r="T32" s="39" t="n"/>
      <c r="U32" s="39" t="n"/>
      <c r="V32" s="39" t="n"/>
      <c r="W32" s="39" t="n"/>
      <c r="X32" s="39" t="n"/>
      <c r="Y32" s="39" t="n"/>
      <c r="Z32" s="39" t="n"/>
      <c r="AA32" s="39" t="n"/>
      <c r="AB32" s="39" t="n"/>
      <c r="AC32" s="39" t="n"/>
      <c r="AD32" s="39" t="n"/>
      <c r="AE32" s="39" t="n"/>
      <c r="AF32" s="39" t="n"/>
      <c r="AG32" s="50">
        <f>IFERROR(L32*0.45+Y32*0.35+AF32*0.20,"")</f>
        <v/>
      </c>
    </row>
    <row r="33" ht="25" customHeight="1">
      <c r="A33" s="40" t="n"/>
      <c r="B33" s="40" t="n"/>
      <c r="C33" s="40" t="n"/>
      <c r="D33" s="40" t="n"/>
      <c r="E33" s="40" t="n"/>
      <c r="F33" s="40" t="n"/>
      <c r="G33" s="40" t="n"/>
      <c r="H33" s="40" t="n"/>
      <c r="I33" s="40" t="n"/>
      <c r="J33" s="40" t="n"/>
      <c r="K33" s="40" t="n"/>
      <c r="L33" s="40" t="n"/>
      <c r="M33" s="40" t="n"/>
      <c r="N33" s="40" t="n"/>
      <c r="O33" s="40" t="n"/>
      <c r="P33" s="40" t="n"/>
      <c r="Q33" s="40" t="n"/>
      <c r="R33" s="40" t="n"/>
      <c r="S33" s="40" t="n"/>
      <c r="T33" s="40" t="n"/>
      <c r="U33" s="40" t="n"/>
      <c r="V33" s="40" t="n"/>
      <c r="W33" s="40" t="n"/>
      <c r="X33" s="40" t="n"/>
      <c r="Y33" s="40" t="n"/>
      <c r="Z33" s="40" t="n"/>
      <c r="AA33" s="40" t="n"/>
      <c r="AB33" s="40" t="n"/>
      <c r="AC33" s="40" t="n"/>
      <c r="AD33" s="40" t="n"/>
      <c r="AE33" s="40" t="n"/>
      <c r="AF33" s="40" t="n"/>
      <c r="AG33" s="51">
        <f>IFERROR(L33*0.45+Y33*0.35+AF33*0.20,"")</f>
        <v/>
      </c>
    </row>
    <row r="34" ht="25" customHeight="1">
      <c r="A34" s="39" t="n"/>
      <c r="B34" s="39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39" t="n"/>
      <c r="L34" s="39" t="n"/>
      <c r="M34" s="39" t="n"/>
      <c r="N34" s="39" t="n"/>
      <c r="O34" s="39" t="n"/>
      <c r="P34" s="39" t="n"/>
      <c r="Q34" s="39" t="n"/>
      <c r="R34" s="39" t="n"/>
      <c r="S34" s="39" t="n"/>
      <c r="T34" s="39" t="n"/>
      <c r="U34" s="39" t="n"/>
      <c r="V34" s="39" t="n"/>
      <c r="W34" s="39" t="n"/>
      <c r="X34" s="39" t="n"/>
      <c r="Y34" s="39" t="n"/>
      <c r="Z34" s="39" t="n"/>
      <c r="AA34" s="39" t="n"/>
      <c r="AB34" s="39" t="n"/>
      <c r="AC34" s="39" t="n"/>
      <c r="AD34" s="39" t="n"/>
      <c r="AE34" s="39" t="n"/>
      <c r="AF34" s="39" t="n"/>
      <c r="AG34" s="50">
        <f>IFERROR(L34*0.45+Y34*0.35+AF34*0.20,"")</f>
        <v/>
      </c>
    </row>
    <row r="35" ht="25" customHeight="1">
      <c r="A35" s="40" t="n"/>
      <c r="B35" s="40" t="n"/>
      <c r="C35" s="40" t="n"/>
      <c r="D35" s="40" t="n"/>
      <c r="E35" s="40" t="n"/>
      <c r="F35" s="40" t="n"/>
      <c r="G35" s="40" t="n"/>
      <c r="H35" s="40" t="n"/>
      <c r="I35" s="40" t="n"/>
      <c r="J35" s="40" t="n"/>
      <c r="K35" s="40" t="n"/>
      <c r="L35" s="40" t="n"/>
      <c r="M35" s="40" t="n"/>
      <c r="N35" s="40" t="n"/>
      <c r="O35" s="40" t="n"/>
      <c r="P35" s="40" t="n"/>
      <c r="Q35" s="40" t="n"/>
      <c r="R35" s="40" t="n"/>
      <c r="S35" s="40" t="n"/>
      <c r="T35" s="40" t="n"/>
      <c r="U35" s="40" t="n"/>
      <c r="V35" s="40" t="n"/>
      <c r="W35" s="40" t="n"/>
      <c r="X35" s="40" t="n"/>
      <c r="Y35" s="40" t="n"/>
      <c r="Z35" s="40" t="n"/>
      <c r="AA35" s="40" t="n"/>
      <c r="AB35" s="40" t="n"/>
      <c r="AC35" s="40" t="n"/>
      <c r="AD35" s="40" t="n"/>
      <c r="AE35" s="40" t="n"/>
      <c r="AF35" s="40" t="n"/>
      <c r="AG35" s="51">
        <f>IFERROR(L35*0.45+Y35*0.35+AF35*0.20,"")</f>
        <v/>
      </c>
    </row>
    <row r="36" ht="25" customHeight="1">
      <c r="A36" s="39" t="n"/>
      <c r="B36" s="39" t="n"/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39" t="n"/>
      <c r="X36" s="39" t="n"/>
      <c r="Y36" s="39" t="n"/>
      <c r="Z36" s="39" t="n"/>
      <c r="AA36" s="39" t="n"/>
      <c r="AB36" s="39" t="n"/>
      <c r="AC36" s="39" t="n"/>
      <c r="AD36" s="39" t="n"/>
      <c r="AE36" s="39" t="n"/>
      <c r="AF36" s="39" t="n"/>
      <c r="AG36" s="50">
        <f>IFERROR(L36*0.45+Y36*0.35+AF36*0.20,"")</f>
        <v/>
      </c>
    </row>
    <row r="37" ht="25" customHeight="1">
      <c r="A37" s="40" t="n"/>
      <c r="B37" s="40" t="n"/>
      <c r="C37" s="40" t="n"/>
      <c r="D37" s="40" t="n"/>
      <c r="E37" s="40" t="n"/>
      <c r="F37" s="40" t="n"/>
      <c r="G37" s="40" t="n"/>
      <c r="H37" s="40" t="n"/>
      <c r="I37" s="40" t="n"/>
      <c r="J37" s="40" t="n"/>
      <c r="K37" s="40" t="n"/>
      <c r="L37" s="40" t="n"/>
      <c r="M37" s="40" t="n"/>
      <c r="N37" s="40" t="n"/>
      <c r="O37" s="40" t="n"/>
      <c r="P37" s="40" t="n"/>
      <c r="Q37" s="40" t="n"/>
      <c r="R37" s="40" t="n"/>
      <c r="S37" s="40" t="n"/>
      <c r="T37" s="40" t="n"/>
      <c r="U37" s="40" t="n"/>
      <c r="V37" s="40" t="n"/>
      <c r="W37" s="40" t="n"/>
      <c r="X37" s="40" t="n"/>
      <c r="Y37" s="40" t="n"/>
      <c r="Z37" s="40" t="n"/>
      <c r="AA37" s="40" t="n"/>
      <c r="AB37" s="40" t="n"/>
      <c r="AC37" s="40" t="n"/>
      <c r="AD37" s="40" t="n"/>
      <c r="AE37" s="40" t="n"/>
      <c r="AF37" s="40" t="n"/>
      <c r="AG37" s="51">
        <f>IFERROR(L37*0.45+Y37*0.35+AF37*0.20,"")</f>
        <v/>
      </c>
    </row>
    <row r="38" ht="25" customHeight="1">
      <c r="A38" s="39" t="n"/>
      <c r="B38" s="39" t="n"/>
      <c r="C38" s="39" t="n"/>
      <c r="D38" s="39" t="n"/>
      <c r="E38" s="39" t="n"/>
      <c r="F38" s="39" t="n"/>
      <c r="G38" s="39" t="n"/>
      <c r="H38" s="39" t="n"/>
      <c r="I38" s="39" t="n"/>
      <c r="J38" s="39" t="n"/>
      <c r="K38" s="39" t="n"/>
      <c r="L38" s="39" t="n"/>
      <c r="M38" s="39" t="n"/>
      <c r="N38" s="39" t="n"/>
      <c r="O38" s="39" t="n"/>
      <c r="P38" s="39" t="n"/>
      <c r="Q38" s="39" t="n"/>
      <c r="R38" s="39" t="n"/>
      <c r="S38" s="39" t="n"/>
      <c r="T38" s="39" t="n"/>
      <c r="U38" s="39" t="n"/>
      <c r="V38" s="39" t="n"/>
      <c r="W38" s="39" t="n"/>
      <c r="X38" s="39" t="n"/>
      <c r="Y38" s="39" t="n"/>
      <c r="Z38" s="39" t="n"/>
      <c r="AA38" s="39" t="n"/>
      <c r="AB38" s="39" t="n"/>
      <c r="AC38" s="39" t="n"/>
      <c r="AD38" s="39" t="n"/>
      <c r="AE38" s="39" t="n"/>
      <c r="AF38" s="39" t="n"/>
      <c r="AG38" s="50">
        <f>IFERROR(L38*0.45+Y38*0.35+AF38*0.20,"")</f>
        <v/>
      </c>
    </row>
    <row r="39" ht="25" customHeight="1">
      <c r="A39" s="40" t="n"/>
      <c r="B39" s="40" t="n"/>
      <c r="C39" s="40" t="n"/>
      <c r="D39" s="40" t="n"/>
      <c r="E39" s="40" t="n"/>
      <c r="F39" s="40" t="n"/>
      <c r="G39" s="40" t="n"/>
      <c r="H39" s="40" t="n"/>
      <c r="I39" s="40" t="n"/>
      <c r="J39" s="40" t="n"/>
      <c r="K39" s="40" t="n"/>
      <c r="L39" s="40" t="n"/>
      <c r="M39" s="40" t="n"/>
      <c r="N39" s="40" t="n"/>
      <c r="O39" s="40" t="n"/>
      <c r="P39" s="40" t="n"/>
      <c r="Q39" s="40" t="n"/>
      <c r="R39" s="40" t="n"/>
      <c r="S39" s="40" t="n"/>
      <c r="T39" s="40" t="n"/>
      <c r="U39" s="40" t="n"/>
      <c r="V39" s="40" t="n"/>
      <c r="W39" s="40" t="n"/>
      <c r="X39" s="40" t="n"/>
      <c r="Y39" s="40" t="n"/>
      <c r="Z39" s="40" t="n"/>
      <c r="AA39" s="40" t="n"/>
      <c r="AB39" s="40" t="n"/>
      <c r="AC39" s="40" t="n"/>
      <c r="AD39" s="40" t="n"/>
      <c r="AE39" s="40" t="n"/>
      <c r="AF39" s="40" t="n"/>
      <c r="AG39" s="51">
        <f>IFERROR(L39*0.45+Y39*0.35+AF39*0.20,"")</f>
        <v/>
      </c>
    </row>
    <row r="40" ht="25" customHeight="1">
      <c r="A40" s="39" t="n"/>
      <c r="B40" s="39" t="n"/>
      <c r="C40" s="39" t="n"/>
      <c r="D40" s="39" t="n"/>
      <c r="E40" s="39" t="n"/>
      <c r="F40" s="39" t="n"/>
      <c r="G40" s="39" t="n"/>
      <c r="H40" s="39" t="n"/>
      <c r="I40" s="39" t="n"/>
      <c r="J40" s="39" t="n"/>
      <c r="K40" s="39" t="n"/>
      <c r="L40" s="39" t="n"/>
      <c r="M40" s="39" t="n"/>
      <c r="N40" s="39" t="n"/>
      <c r="O40" s="39" t="n"/>
      <c r="P40" s="39" t="n"/>
      <c r="Q40" s="39" t="n"/>
      <c r="R40" s="39" t="n"/>
      <c r="S40" s="39" t="n"/>
      <c r="T40" s="39" t="n"/>
      <c r="U40" s="39" t="n"/>
      <c r="V40" s="39" t="n"/>
      <c r="W40" s="39" t="n"/>
      <c r="X40" s="39" t="n"/>
      <c r="Y40" s="39" t="n"/>
      <c r="Z40" s="39" t="n"/>
      <c r="AA40" s="39" t="n"/>
      <c r="AB40" s="39" t="n"/>
      <c r="AC40" s="39" t="n"/>
      <c r="AD40" s="39" t="n"/>
      <c r="AE40" s="39" t="n"/>
      <c r="AF40" s="39" t="n"/>
      <c r="AG40" s="50">
        <f>IFERROR(L40*0.45+Y40*0.35+AF40*0.20,"")</f>
        <v/>
      </c>
    </row>
    <row r="41" ht="25" customHeight="1">
      <c r="A41" s="40" t="n"/>
      <c r="B41" s="40" t="n"/>
      <c r="C41" s="40" t="n"/>
      <c r="D41" s="40" t="n"/>
      <c r="E41" s="40" t="n"/>
      <c r="F41" s="40" t="n"/>
      <c r="G41" s="40" t="n"/>
      <c r="H41" s="40" t="n"/>
      <c r="I41" s="40" t="n"/>
      <c r="J41" s="40" t="n"/>
      <c r="K41" s="40" t="n"/>
      <c r="L41" s="40" t="n"/>
      <c r="M41" s="40" t="n"/>
      <c r="N41" s="40" t="n"/>
      <c r="O41" s="40" t="n"/>
      <c r="P41" s="40" t="n"/>
      <c r="Q41" s="40" t="n"/>
      <c r="R41" s="40" t="n"/>
      <c r="S41" s="40" t="n"/>
      <c r="T41" s="40" t="n"/>
      <c r="U41" s="40" t="n"/>
      <c r="V41" s="40" t="n"/>
      <c r="W41" s="40" t="n"/>
      <c r="X41" s="40" t="n"/>
      <c r="Y41" s="40" t="n"/>
      <c r="Z41" s="40" t="n"/>
      <c r="AA41" s="40" t="n"/>
      <c r="AB41" s="40" t="n"/>
      <c r="AC41" s="40" t="n"/>
      <c r="AD41" s="40" t="n"/>
      <c r="AE41" s="40" t="n"/>
      <c r="AF41" s="40" t="n"/>
      <c r="AG41" s="51">
        <f>IFERROR(L41*0.45+Y41*0.35+AF41*0.20,"")</f>
        <v/>
      </c>
    </row>
    <row r="42" ht="25" customHeight="1">
      <c r="A42" s="39" t="n"/>
      <c r="B42" s="39" t="n"/>
      <c r="C42" s="39" t="n"/>
      <c r="D42" s="39" t="n"/>
      <c r="E42" s="39" t="n"/>
      <c r="F42" s="39" t="n"/>
      <c r="G42" s="39" t="n"/>
      <c r="H42" s="39" t="n"/>
      <c r="I42" s="39" t="n"/>
      <c r="J42" s="39" t="n"/>
      <c r="K42" s="39" t="n"/>
      <c r="L42" s="39" t="n"/>
      <c r="M42" s="39" t="n"/>
      <c r="N42" s="39" t="n"/>
      <c r="O42" s="39" t="n"/>
      <c r="P42" s="39" t="n"/>
      <c r="Q42" s="39" t="n"/>
      <c r="R42" s="39" t="n"/>
      <c r="S42" s="39" t="n"/>
      <c r="T42" s="39" t="n"/>
      <c r="U42" s="39" t="n"/>
      <c r="V42" s="39" t="n"/>
      <c r="W42" s="39" t="n"/>
      <c r="X42" s="39" t="n"/>
      <c r="Y42" s="39" t="n"/>
      <c r="Z42" s="39" t="n"/>
      <c r="AA42" s="39" t="n"/>
      <c r="AB42" s="39" t="n"/>
      <c r="AC42" s="39" t="n"/>
      <c r="AD42" s="39" t="n"/>
      <c r="AE42" s="39" t="n"/>
      <c r="AF42" s="39" t="n"/>
      <c r="AG42" s="50">
        <f>IFERROR(L42*0.45+Y42*0.35+AF42*0.20,"")</f>
        <v/>
      </c>
    </row>
    <row r="43" ht="25" customHeight="1">
      <c r="A43" s="40" t="n"/>
      <c r="B43" s="40" t="n"/>
      <c r="C43" s="40" t="n"/>
      <c r="D43" s="40" t="n"/>
      <c r="E43" s="40" t="n"/>
      <c r="F43" s="40" t="n"/>
      <c r="G43" s="40" t="n"/>
      <c r="H43" s="40" t="n"/>
      <c r="I43" s="40" t="n"/>
      <c r="J43" s="40" t="n"/>
      <c r="K43" s="40" t="n"/>
      <c r="L43" s="40" t="n"/>
      <c r="M43" s="40" t="n"/>
      <c r="N43" s="40" t="n"/>
      <c r="O43" s="40" t="n"/>
      <c r="P43" s="40" t="n"/>
      <c r="Q43" s="40" t="n"/>
      <c r="R43" s="40" t="n"/>
      <c r="S43" s="40" t="n"/>
      <c r="T43" s="40" t="n"/>
      <c r="U43" s="40" t="n"/>
      <c r="V43" s="40" t="n"/>
      <c r="W43" s="40" t="n"/>
      <c r="X43" s="40" t="n"/>
      <c r="Y43" s="40" t="n"/>
      <c r="Z43" s="40" t="n"/>
      <c r="AA43" s="40" t="n"/>
      <c r="AB43" s="40" t="n"/>
      <c r="AC43" s="40" t="n"/>
      <c r="AD43" s="40" t="n"/>
      <c r="AE43" s="40" t="n"/>
      <c r="AF43" s="40" t="n"/>
      <c r="AG43" s="51">
        <f>IFERROR(L43*0.45+Y43*0.35+AF43*0.20,"")</f>
        <v/>
      </c>
    </row>
    <row r="44" ht="25" customHeight="1">
      <c r="A44" s="39" t="n"/>
      <c r="B44" s="39" t="n"/>
      <c r="C44" s="39" t="n"/>
      <c r="D44" s="39" t="n"/>
      <c r="E44" s="39" t="n"/>
      <c r="F44" s="39" t="n"/>
      <c r="G44" s="39" t="n"/>
      <c r="H44" s="39" t="n"/>
      <c r="I44" s="39" t="n"/>
      <c r="J44" s="39" t="n"/>
      <c r="K44" s="39" t="n"/>
      <c r="L44" s="39" t="n"/>
      <c r="M44" s="39" t="n"/>
      <c r="N44" s="39" t="n"/>
      <c r="O44" s="39" t="n"/>
      <c r="P44" s="39" t="n"/>
      <c r="Q44" s="39" t="n"/>
      <c r="R44" s="39" t="n"/>
      <c r="S44" s="39" t="n"/>
      <c r="T44" s="39" t="n"/>
      <c r="U44" s="39" t="n"/>
      <c r="V44" s="39" t="n"/>
      <c r="W44" s="39" t="n"/>
      <c r="X44" s="39" t="n"/>
      <c r="Y44" s="39" t="n"/>
      <c r="Z44" s="39" t="n"/>
      <c r="AA44" s="39" t="n"/>
      <c r="AB44" s="39" t="n"/>
      <c r="AC44" s="39" t="n"/>
      <c r="AD44" s="39" t="n"/>
      <c r="AE44" s="39" t="n"/>
      <c r="AF44" s="39" t="n"/>
      <c r="AG44" s="50">
        <f>IFERROR(L44*0.45+Y44*0.35+AF44*0.20,"")</f>
        <v/>
      </c>
    </row>
    <row r="45" ht="25" customHeight="1">
      <c r="A45" s="40" t="n"/>
      <c r="B45" s="40" t="n"/>
      <c r="C45" s="40" t="n"/>
      <c r="D45" s="40" t="n"/>
      <c r="E45" s="40" t="n"/>
      <c r="F45" s="40" t="n"/>
      <c r="G45" s="40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X45" s="40" t="n"/>
      <c r="Y45" s="40" t="n"/>
      <c r="Z45" s="40" t="n"/>
      <c r="AA45" s="40" t="n"/>
      <c r="AB45" s="40" t="n"/>
      <c r="AC45" s="40" t="n"/>
      <c r="AD45" s="40" t="n"/>
      <c r="AE45" s="40" t="n"/>
      <c r="AF45" s="40" t="n"/>
      <c r="AG45" s="51">
        <f>IFERROR(L45*0.45+Y45*0.35+AF45*0.20,"")</f>
        <v/>
      </c>
    </row>
    <row r="46" ht="25" customHeight="1">
      <c r="A46" s="39" t="n"/>
      <c r="B46" s="39" t="n"/>
      <c r="C46" s="39" t="n"/>
      <c r="D46" s="39" t="n"/>
      <c r="E46" s="39" t="n"/>
      <c r="F46" s="39" t="n"/>
      <c r="G46" s="39" t="n"/>
      <c r="H46" s="39" t="n"/>
      <c r="I46" s="39" t="n"/>
      <c r="J46" s="39" t="n"/>
      <c r="K46" s="39" t="n"/>
      <c r="L46" s="39" t="n"/>
      <c r="M46" s="39" t="n"/>
      <c r="N46" s="39" t="n"/>
      <c r="O46" s="39" t="n"/>
      <c r="P46" s="39" t="n"/>
      <c r="Q46" s="39" t="n"/>
      <c r="R46" s="39" t="n"/>
      <c r="S46" s="39" t="n"/>
      <c r="T46" s="39" t="n"/>
      <c r="U46" s="39" t="n"/>
      <c r="V46" s="39" t="n"/>
      <c r="W46" s="39" t="n"/>
      <c r="X46" s="39" t="n"/>
      <c r="Y46" s="39" t="n"/>
      <c r="Z46" s="39" t="n"/>
      <c r="AA46" s="39" t="n"/>
      <c r="AB46" s="39" t="n"/>
      <c r="AC46" s="39" t="n"/>
      <c r="AD46" s="39" t="n"/>
      <c r="AE46" s="39" t="n"/>
      <c r="AF46" s="39" t="n"/>
      <c r="AG46" s="50">
        <f>IFERROR(L46*0.45+Y46*0.35+AF46*0.20,"")</f>
        <v/>
      </c>
    </row>
    <row r="47" ht="25" customHeight="1">
      <c r="A47" s="40" t="n"/>
      <c r="B47" s="40" t="n"/>
      <c r="C47" s="40" t="n"/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X47" s="40" t="n"/>
      <c r="Y47" s="40" t="n"/>
      <c r="Z47" s="40" t="n"/>
      <c r="AA47" s="40" t="n"/>
      <c r="AB47" s="40" t="n"/>
      <c r="AC47" s="40" t="n"/>
      <c r="AD47" s="40" t="n"/>
      <c r="AE47" s="40" t="n"/>
      <c r="AF47" s="40" t="n"/>
      <c r="AG47" s="51">
        <f>IFERROR(L47*0.45+Y47*0.35+AF47*0.20,"")</f>
        <v/>
      </c>
    </row>
    <row r="48" ht="25" customHeight="1">
      <c r="A48" s="39" t="n"/>
      <c r="B48" s="39" t="n"/>
      <c r="C48" s="39" t="n"/>
      <c r="D48" s="39" t="n"/>
      <c r="E48" s="39" t="n"/>
      <c r="F48" s="39" t="n"/>
      <c r="G48" s="39" t="n"/>
      <c r="H48" s="39" t="n"/>
      <c r="I48" s="39" t="n"/>
      <c r="J48" s="39" t="n"/>
      <c r="K48" s="39" t="n"/>
      <c r="L48" s="39" t="n"/>
      <c r="M48" s="39" t="n"/>
      <c r="N48" s="39" t="n"/>
      <c r="O48" s="39" t="n"/>
      <c r="P48" s="39" t="n"/>
      <c r="Q48" s="39" t="n"/>
      <c r="R48" s="39" t="n"/>
      <c r="S48" s="39" t="n"/>
      <c r="T48" s="39" t="n"/>
      <c r="U48" s="39" t="n"/>
      <c r="V48" s="39" t="n"/>
      <c r="W48" s="39" t="n"/>
      <c r="X48" s="39" t="n"/>
      <c r="Y48" s="39" t="n"/>
      <c r="Z48" s="39" t="n"/>
      <c r="AA48" s="39" t="n"/>
      <c r="AB48" s="39" t="n"/>
      <c r="AC48" s="39" t="n"/>
      <c r="AD48" s="39" t="n"/>
      <c r="AE48" s="39" t="n"/>
      <c r="AF48" s="39" t="n"/>
      <c r="AG48" s="50">
        <f>IFERROR(L48*0.45+Y48*0.35+AF48*0.20,"")</f>
        <v/>
      </c>
    </row>
    <row r="49" ht="25" customHeight="1">
      <c r="A49" s="40" t="n"/>
      <c r="B49" s="40" t="n"/>
      <c r="C49" s="40" t="n"/>
      <c r="D49" s="40" t="n"/>
      <c r="E49" s="40" t="n"/>
      <c r="F49" s="40" t="n"/>
      <c r="G49" s="40" t="n"/>
      <c r="H49" s="40" t="n"/>
      <c r="I49" s="40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40" t="n"/>
      <c r="Y49" s="40" t="n"/>
      <c r="Z49" s="40" t="n"/>
      <c r="AA49" s="40" t="n"/>
      <c r="AB49" s="40" t="n"/>
      <c r="AC49" s="40" t="n"/>
      <c r="AD49" s="40" t="n"/>
      <c r="AE49" s="40" t="n"/>
      <c r="AF49" s="40" t="n"/>
      <c r="AG49" s="51">
        <f>IFERROR(L49*0.45+Y49*0.35+AF49*0.20,"")</f>
        <v/>
      </c>
    </row>
    <row r="50" ht="25" customHeight="1">
      <c r="A50" s="39" t="n"/>
      <c r="B50" s="39" t="n"/>
      <c r="C50" s="39" t="n"/>
      <c r="D50" s="39" t="n"/>
      <c r="E50" s="39" t="n"/>
      <c r="F50" s="39" t="n"/>
      <c r="G50" s="39" t="n"/>
      <c r="H50" s="39" t="n"/>
      <c r="I50" s="39" t="n"/>
      <c r="J50" s="39" t="n"/>
      <c r="K50" s="39" t="n"/>
      <c r="L50" s="39" t="n"/>
      <c r="M50" s="39" t="n"/>
      <c r="N50" s="39" t="n"/>
      <c r="O50" s="39" t="n"/>
      <c r="P50" s="39" t="n"/>
      <c r="Q50" s="39" t="n"/>
      <c r="R50" s="39" t="n"/>
      <c r="S50" s="39" t="n"/>
      <c r="T50" s="39" t="n"/>
      <c r="U50" s="39" t="n"/>
      <c r="V50" s="39" t="n"/>
      <c r="W50" s="39" t="n"/>
      <c r="X50" s="39" t="n"/>
      <c r="Y50" s="39" t="n"/>
      <c r="Z50" s="39" t="n"/>
      <c r="AA50" s="39" t="n"/>
      <c r="AB50" s="39" t="n"/>
      <c r="AC50" s="39" t="n"/>
      <c r="AD50" s="39" t="n"/>
      <c r="AE50" s="39" t="n"/>
      <c r="AF50" s="39" t="n"/>
      <c r="AG50" s="50">
        <f>IFERROR(L50*0.45+Y50*0.35+AF50*0.20,"")</f>
        <v/>
      </c>
    </row>
    <row r="51" ht="25" customHeight="1">
      <c r="A51" s="40" t="n"/>
      <c r="B51" s="40" t="n"/>
      <c r="C51" s="40" t="n"/>
      <c r="D51" s="40" t="n"/>
      <c r="E51" s="40" t="n"/>
      <c r="F51" s="40" t="n"/>
      <c r="G51" s="40" t="n"/>
      <c r="H51" s="40" t="n"/>
      <c r="I51" s="40" t="n"/>
      <c r="J51" s="40" t="n"/>
      <c r="K51" s="40" t="n"/>
      <c r="L51" s="40" t="n"/>
      <c r="M51" s="40" t="n"/>
      <c r="N51" s="40" t="n"/>
      <c r="O51" s="40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40" t="n"/>
      <c r="Y51" s="40" t="n"/>
      <c r="Z51" s="40" t="n"/>
      <c r="AA51" s="40" t="n"/>
      <c r="AB51" s="40" t="n"/>
      <c r="AC51" s="40" t="n"/>
      <c r="AD51" s="40" t="n"/>
      <c r="AE51" s="40" t="n"/>
      <c r="AF51" s="40" t="n"/>
      <c r="AG51" s="51">
        <f>IFERROR(L51*0.45+Y51*0.35+AF51*0.20,"")</f>
        <v/>
      </c>
    </row>
    <row r="52" ht="25" customHeight="1">
      <c r="A52" s="39" t="n"/>
      <c r="B52" s="39" t="n"/>
      <c r="C52" s="39" t="n"/>
      <c r="D52" s="39" t="n"/>
      <c r="E52" s="39" t="n"/>
      <c r="F52" s="39" t="n"/>
      <c r="G52" s="39" t="n"/>
      <c r="H52" s="39" t="n"/>
      <c r="I52" s="39" t="n"/>
      <c r="J52" s="39" t="n"/>
      <c r="K52" s="39" t="n"/>
      <c r="L52" s="39" t="n"/>
      <c r="M52" s="39" t="n"/>
      <c r="N52" s="39" t="n"/>
      <c r="O52" s="39" t="n"/>
      <c r="P52" s="39" t="n"/>
      <c r="Q52" s="39" t="n"/>
      <c r="R52" s="39" t="n"/>
      <c r="S52" s="39" t="n"/>
      <c r="T52" s="39" t="n"/>
      <c r="U52" s="39" t="n"/>
      <c r="V52" s="39" t="n"/>
      <c r="W52" s="39" t="n"/>
      <c r="X52" s="39" t="n"/>
      <c r="Y52" s="39" t="n"/>
      <c r="Z52" s="39" t="n"/>
      <c r="AA52" s="39" t="n"/>
      <c r="AB52" s="39" t="n"/>
      <c r="AC52" s="39" t="n"/>
      <c r="AD52" s="39" t="n"/>
      <c r="AE52" s="39" t="n"/>
      <c r="AF52" s="39" t="n"/>
      <c r="AG52" s="50">
        <f>IFERROR(L52*0.45+Y52*0.35+AF52*0.20,"")</f>
        <v/>
      </c>
    </row>
  </sheetData>
  <mergeCells count="4">
    <mergeCell ref="AA1:AG1"/>
    <mergeCell ref="C1:O1"/>
    <mergeCell ref="A1:B1"/>
    <mergeCell ref="P1:Z1"/>
  </mergeCells>
  <conditionalFormatting sqref="L3:L52">
    <cfRule type="colorScale" priority="1">
      <colorScale>
        <cfvo type="num" val="1"/>
        <cfvo type="num" val="5"/>
        <cfvo type="num" val="10"/>
        <color rgb="00FF5252"/>
        <color rgb="00FFEB3B"/>
        <color rgb="004CAF50"/>
      </colorScale>
    </cfRule>
  </conditionalFormatting>
  <dataValidations count="6">
    <dataValidation sqref="K3:K52" showDropDown="0" showInputMessage="0" showErrorMessage="0" allowBlank="0" type="list">
      <formula1>"Y,N"</formula1>
    </dataValidation>
    <dataValidation sqref="S3:S52" showDropDown="0" showInputMessage="0" showErrorMessage="0" allowBlank="0" type="list">
      <formula1>"Y,N"</formula1>
    </dataValidation>
    <dataValidation sqref="U3:U52" showDropDown="0" showInputMessage="0" showErrorMessage="0" allowBlank="0" type="list">
      <formula1>"Y,N"</formula1>
    </dataValidation>
    <dataValidation sqref="AC3:AC52" showDropDown="0" showInputMessage="0" showErrorMessage="0" allowBlank="0" type="list">
      <formula1>"Y,N"</formula1>
    </dataValidation>
    <dataValidation sqref="AD3:AD52" showDropDown="0" showInputMessage="0" showErrorMessage="0" allowBlank="0" type="list">
      <formula1>"Comment,Link bio,Swipe up,Tag bạn bè,DM,Mua ngay,Khác"</formula1>
    </dataValidation>
    <dataValidation sqref="L3:L52 Y3:Y52 AE3:AE52 AF3:AF52" showDropDown="0" showInputMessage="0" showErrorMessage="0" allowBlank="0" type="whole" operator="between">
      <formula1>1</formula1>
      <formula2>10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22" customWidth="1" min="3" max="3"/>
    <col width="13" customWidth="1" min="4" max="4"/>
    <col width="13" customWidth="1" min="5" max="5"/>
    <col width="12" customWidth="1" min="6" max="6"/>
    <col width="16" customWidth="1" min="7" max="7"/>
    <col width="16" customWidth="1" min="8" max="8"/>
    <col width="13" customWidth="1" min="9" max="9"/>
    <col width="13" customWidth="1" min="10" max="10"/>
    <col width="13" customWidth="1" min="11" max="11"/>
    <col width="14" customWidth="1" min="12" max="12"/>
    <col width="18" customWidth="1" min="13" max="13"/>
    <col width="12" customWidth="1" min="14" max="14"/>
    <col width="16" customWidth="1" min="15" max="15"/>
  </cols>
  <sheetData>
    <row r="1" ht="30" customHeight="1">
      <c r="A1" s="52" t="inlineStr">
        <is>
          <t>⭐  BẢNG ĐIỂM TỔNG HỢP – VIDEO ANALYSIS ĐA NỀN TẢNG</t>
        </is>
      </c>
    </row>
    <row r="2" ht="35" customHeight="1">
      <c r="A2" s="24" t="inlineStr">
        <is>
          <t>STT</t>
        </is>
      </c>
      <c r="B2" s="24" t="inlineStr">
        <is>
          <t>Link Video</t>
        </is>
      </c>
      <c r="C2" s="25" t="inlineStr">
        <is>
          <t>Sản phẩm</t>
        </is>
      </c>
      <c r="D2" s="25" t="inlineStr">
        <is>
          <t>Nền tảng</t>
        </is>
      </c>
      <c r="E2" s="25" t="inlineStr">
        <is>
          <t>Ngày đăng</t>
        </is>
      </c>
      <c r="F2" s="26" t="inlineStr">
        <is>
          <t>ER (%)</t>
        </is>
      </c>
      <c r="G2" s="26" t="inlineStr">
        <is>
          <t>Completion Rate (%)</t>
        </is>
      </c>
      <c r="H2" s="26" t="inlineStr">
        <is>
          <t>CTR Giỏ hàng (%)</t>
        </is>
      </c>
      <c r="I2" s="53" t="inlineStr">
        <is>
          <t>Điểm Hook</t>
        </is>
      </c>
      <c r="J2" s="26" t="inlineStr">
        <is>
          <t>Điểm Thân bài</t>
        </is>
      </c>
      <c r="K2" s="54" t="inlineStr">
        <is>
          <t>Điểm Kết/CTA</t>
        </is>
      </c>
      <c r="L2" s="28" t="inlineStr">
        <is>
          <t>Điểm Nội dung</t>
        </is>
      </c>
      <c r="M2" s="24" t="inlineStr">
        <is>
          <t>Điểm Tổng Composite</t>
        </is>
      </c>
      <c r="N2" s="24" t="inlineStr">
        <is>
          <t>Xếp hạng</t>
        </is>
      </c>
      <c r="O2" s="25" t="inlineStr">
        <is>
          <t>Phân loại</t>
        </is>
      </c>
    </row>
    <row r="3" ht="22" customHeight="1">
      <c r="A3" s="55" t="inlineStr">
        <is>
          <t>Công thức Điểm Tổng (Composite) = ER×0.35 + Completion%×0.15 + CTR×0.15 + DiemNoiDung×0.25 + DiemTrend×0.10</t>
        </is>
      </c>
    </row>
    <row r="4" ht="22" customHeight="1">
      <c r="A4" s="55" t="inlineStr">
        <is>
          <t>Khung điểm giữ nguyên cho TikTok; với Facebook hãy diễn giải theo benchmark tham khảo ở sheet '📐 Thang điểm &amp; Trọng số'</t>
        </is>
      </c>
    </row>
    <row r="5" ht="22" customHeight="1">
      <c r="A5" s="55" t="inlineStr">
        <is>
          <t>Điểm Nội dung = Hook×0.45 + ThânBài×0.35 + Kết×0.20  (thang 1–10)</t>
        </is>
      </c>
    </row>
    <row r="6" ht="20" customHeight="1">
      <c r="A6" s="56" t="n"/>
      <c r="B6" s="56" t="n"/>
      <c r="C6" s="56" t="n"/>
      <c r="D6" s="56" t="n"/>
      <c r="E6" s="56" t="n"/>
      <c r="F6" s="56" t="n"/>
      <c r="G6" s="56" t="n"/>
      <c r="H6" s="56" t="n"/>
      <c r="I6" s="56" t="n"/>
      <c r="J6" s="56" t="n"/>
      <c r="K6" s="56" t="n"/>
      <c r="L6" s="56" t="n"/>
      <c r="M6" s="56" t="n"/>
      <c r="N6" s="56" t="n"/>
      <c r="O6" s="56" t="n"/>
    </row>
    <row r="7" ht="20" customHeight="1">
      <c r="A7" s="57" t="n"/>
      <c r="B7" s="57" t="n"/>
      <c r="C7" s="57" t="n"/>
      <c r="D7" s="57" t="n"/>
      <c r="E7" s="57" t="n"/>
      <c r="F7" s="57" t="n"/>
      <c r="G7" s="57" t="n"/>
      <c r="H7" s="57" t="n"/>
      <c r="I7" s="57" t="n"/>
      <c r="J7" s="57" t="n"/>
      <c r="K7" s="57" t="n"/>
      <c r="L7" s="57" t="n"/>
      <c r="M7" s="57" t="n"/>
      <c r="N7" s="57" t="n"/>
      <c r="O7" s="57" t="n"/>
    </row>
    <row r="8" ht="20" customHeight="1">
      <c r="A8" s="56" t="n"/>
      <c r="B8" s="56" t="n"/>
      <c r="C8" s="56" t="n"/>
      <c r="D8" s="56" t="n"/>
      <c r="E8" s="56" t="n"/>
      <c r="F8" s="56" t="n"/>
      <c r="G8" s="56" t="n"/>
      <c r="H8" s="56" t="n"/>
      <c r="I8" s="56" t="n"/>
      <c r="J8" s="56" t="n"/>
      <c r="K8" s="56" t="n"/>
      <c r="L8" s="56" t="n"/>
      <c r="M8" s="56" t="n"/>
      <c r="N8" s="56" t="n"/>
      <c r="O8" s="56" t="n"/>
    </row>
    <row r="9" ht="20" customHeight="1">
      <c r="A9" s="57" t="n"/>
      <c r="B9" s="57" t="n"/>
      <c r="C9" s="57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</row>
    <row r="10" ht="20" customHeight="1">
      <c r="A10" s="56" t="n"/>
      <c r="B10" s="56" t="n"/>
      <c r="C10" s="56" t="n"/>
      <c r="D10" s="56" t="n"/>
      <c r="E10" s="56" t="n"/>
      <c r="F10" s="56" t="n"/>
      <c r="G10" s="56" t="n"/>
      <c r="H10" s="56" t="n"/>
      <c r="I10" s="56" t="n"/>
      <c r="J10" s="56" t="n"/>
      <c r="K10" s="56" t="n"/>
      <c r="L10" s="56" t="n"/>
      <c r="M10" s="56" t="n"/>
      <c r="N10" s="56" t="n"/>
      <c r="O10" s="56" t="n"/>
    </row>
    <row r="11" ht="20" customHeight="1">
      <c r="A11" s="57" t="n"/>
      <c r="B11" s="57" t="n"/>
      <c r="C11" s="57" t="n"/>
      <c r="D11" s="57" t="n"/>
      <c r="E11" s="57" t="n"/>
      <c r="F11" s="57" t="n"/>
      <c r="G11" s="57" t="n"/>
      <c r="H11" s="57" t="n"/>
      <c r="I11" s="57" t="n"/>
      <c r="J11" s="57" t="n"/>
      <c r="K11" s="57" t="n"/>
      <c r="L11" s="57" t="n"/>
      <c r="M11" s="57" t="n"/>
      <c r="N11" s="57" t="n"/>
      <c r="O11" s="57" t="n"/>
    </row>
    <row r="12" ht="20" customHeight="1">
      <c r="A12" s="56" t="n"/>
      <c r="B12" s="56" t="n"/>
      <c r="C12" s="56" t="n"/>
      <c r="D12" s="56" t="n"/>
      <c r="E12" s="56" t="n"/>
      <c r="F12" s="56" t="n"/>
      <c r="G12" s="56" t="n"/>
      <c r="H12" s="56" t="n"/>
      <c r="I12" s="56" t="n"/>
      <c r="J12" s="56" t="n"/>
      <c r="K12" s="56" t="n"/>
      <c r="L12" s="56" t="n"/>
      <c r="M12" s="56" t="n"/>
      <c r="N12" s="56" t="n"/>
      <c r="O12" s="56" t="n"/>
    </row>
    <row r="13" ht="20" customHeight="1">
      <c r="A13" s="57" t="n"/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7" t="n"/>
      <c r="L13" s="57" t="n"/>
      <c r="M13" s="57" t="n"/>
      <c r="N13" s="57" t="n"/>
      <c r="O13" s="57" t="n"/>
    </row>
    <row r="14" ht="20" customHeight="1">
      <c r="A14" s="56" t="n"/>
      <c r="B14" s="56" t="n"/>
      <c r="C14" s="56" t="n"/>
      <c r="D14" s="56" t="n"/>
      <c r="E14" s="56" t="n"/>
      <c r="F14" s="56" t="n"/>
      <c r="G14" s="56" t="n"/>
      <c r="H14" s="56" t="n"/>
      <c r="I14" s="56" t="n"/>
      <c r="J14" s="56" t="n"/>
      <c r="K14" s="56" t="n"/>
      <c r="L14" s="56" t="n"/>
      <c r="M14" s="56" t="n"/>
      <c r="N14" s="56" t="n"/>
      <c r="O14" s="56" t="n"/>
    </row>
    <row r="15" ht="20" customHeight="1">
      <c r="A15" s="57" t="n"/>
      <c r="B15" s="57" t="n"/>
      <c r="C15" s="57" t="n"/>
      <c r="D15" s="57" t="n"/>
      <c r="E15" s="57" t="n"/>
      <c r="F15" s="57" t="n"/>
      <c r="G15" s="57" t="n"/>
      <c r="H15" s="57" t="n"/>
      <c r="I15" s="57" t="n"/>
      <c r="J15" s="57" t="n"/>
      <c r="K15" s="57" t="n"/>
      <c r="L15" s="57" t="n"/>
      <c r="M15" s="57" t="n"/>
      <c r="N15" s="57" t="n"/>
      <c r="O15" s="57" t="n"/>
    </row>
    <row r="16" ht="20" customHeight="1">
      <c r="A16" s="56" t="n"/>
      <c r="B16" s="56" t="n"/>
      <c r="C16" s="56" t="n"/>
      <c r="D16" s="56" t="n"/>
      <c r="E16" s="56" t="n"/>
      <c r="F16" s="56" t="n"/>
      <c r="G16" s="56" t="n"/>
      <c r="H16" s="56" t="n"/>
      <c r="I16" s="56" t="n"/>
      <c r="J16" s="56" t="n"/>
      <c r="K16" s="56" t="n"/>
      <c r="L16" s="56" t="n"/>
      <c r="M16" s="56" t="n"/>
      <c r="N16" s="56" t="n"/>
      <c r="O16" s="56" t="n"/>
    </row>
    <row r="17" ht="20" customHeight="1">
      <c r="A17" s="57" t="n"/>
      <c r="B17" s="57" t="n"/>
      <c r="C17" s="57" t="n"/>
      <c r="D17" s="57" t="n"/>
      <c r="E17" s="57" t="n"/>
      <c r="F17" s="57" t="n"/>
      <c r="G17" s="57" t="n"/>
      <c r="H17" s="57" t="n"/>
      <c r="I17" s="57" t="n"/>
      <c r="J17" s="57" t="n"/>
      <c r="K17" s="57" t="n"/>
      <c r="L17" s="57" t="n"/>
      <c r="M17" s="57" t="n"/>
      <c r="N17" s="57" t="n"/>
      <c r="O17" s="57" t="n"/>
    </row>
    <row r="18" ht="20" customHeight="1">
      <c r="A18" s="56" t="n"/>
      <c r="B18" s="56" t="n"/>
      <c r="C18" s="56" t="n"/>
      <c r="D18" s="56" t="n"/>
      <c r="E18" s="56" t="n"/>
      <c r="F18" s="56" t="n"/>
      <c r="G18" s="56" t="n"/>
      <c r="H18" s="56" t="n"/>
      <c r="I18" s="56" t="n"/>
      <c r="J18" s="56" t="n"/>
      <c r="K18" s="56" t="n"/>
      <c r="L18" s="56" t="n"/>
      <c r="M18" s="56" t="n"/>
      <c r="N18" s="56" t="n"/>
      <c r="O18" s="56" t="n"/>
    </row>
    <row r="19" ht="20" customHeight="1">
      <c r="A19" s="57" t="n"/>
      <c r="B19" s="57" t="n"/>
      <c r="C19" s="57" t="n"/>
      <c r="D19" s="57" t="n"/>
      <c r="E19" s="57" t="n"/>
      <c r="F19" s="57" t="n"/>
      <c r="G19" s="57" t="n"/>
      <c r="H19" s="57" t="n"/>
      <c r="I19" s="57" t="n"/>
      <c r="J19" s="57" t="n"/>
      <c r="K19" s="57" t="n"/>
      <c r="L19" s="57" t="n"/>
      <c r="M19" s="57" t="n"/>
      <c r="N19" s="57" t="n"/>
      <c r="O19" s="57" t="n"/>
    </row>
    <row r="20" ht="20" customHeight="1">
      <c r="A20" s="56" t="n"/>
      <c r="B20" s="56" t="n"/>
      <c r="C20" s="56" t="n"/>
      <c r="D20" s="56" t="n"/>
      <c r="E20" s="56" t="n"/>
      <c r="F20" s="56" t="n"/>
      <c r="G20" s="56" t="n"/>
      <c r="H20" s="56" t="n"/>
      <c r="I20" s="56" t="n"/>
      <c r="J20" s="56" t="n"/>
      <c r="K20" s="56" t="n"/>
      <c r="L20" s="56" t="n"/>
      <c r="M20" s="56" t="n"/>
      <c r="N20" s="56" t="n"/>
      <c r="O20" s="56" t="n"/>
    </row>
    <row r="21" ht="20" customHeight="1">
      <c r="A21" s="57" t="n"/>
      <c r="B21" s="57" t="n"/>
      <c r="C21" s="57" t="n"/>
      <c r="D21" s="57" t="n"/>
      <c r="E21" s="57" t="n"/>
      <c r="F21" s="57" t="n"/>
      <c r="G21" s="57" t="n"/>
      <c r="H21" s="57" t="n"/>
      <c r="I21" s="57" t="n"/>
      <c r="J21" s="57" t="n"/>
      <c r="K21" s="57" t="n"/>
      <c r="L21" s="57" t="n"/>
      <c r="M21" s="57" t="n"/>
      <c r="N21" s="57" t="n"/>
      <c r="O21" s="57" t="n"/>
    </row>
    <row r="22" ht="20" customHeight="1">
      <c r="A22" s="56" t="n"/>
      <c r="B22" s="56" t="n"/>
      <c r="C22" s="56" t="n"/>
      <c r="D22" s="56" t="n"/>
      <c r="E22" s="56" t="n"/>
      <c r="F22" s="56" t="n"/>
      <c r="G22" s="56" t="n"/>
      <c r="H22" s="56" t="n"/>
      <c r="I22" s="56" t="n"/>
      <c r="J22" s="56" t="n"/>
      <c r="K22" s="56" t="n"/>
      <c r="L22" s="56" t="n"/>
      <c r="M22" s="56" t="n"/>
      <c r="N22" s="56" t="n"/>
      <c r="O22" s="56" t="n"/>
    </row>
    <row r="23" ht="20" customHeight="1">
      <c r="A23" s="57" t="n"/>
      <c r="B23" s="57" t="n"/>
      <c r="C23" s="57" t="n"/>
      <c r="D23" s="57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</row>
    <row r="24" ht="20" customHeight="1">
      <c r="A24" s="56" t="n"/>
      <c r="B24" s="56" t="n"/>
      <c r="C24" s="56" t="n"/>
      <c r="D24" s="56" t="n"/>
      <c r="E24" s="56" t="n"/>
      <c r="F24" s="56" t="n"/>
      <c r="G24" s="56" t="n"/>
      <c r="H24" s="56" t="n"/>
      <c r="I24" s="56" t="n"/>
      <c r="J24" s="56" t="n"/>
      <c r="K24" s="56" t="n"/>
      <c r="L24" s="56" t="n"/>
      <c r="M24" s="56" t="n"/>
      <c r="N24" s="56" t="n"/>
      <c r="O24" s="56" t="n"/>
    </row>
    <row r="25" ht="20" customHeight="1">
      <c r="A25" s="57" t="n"/>
      <c r="B25" s="57" t="n"/>
      <c r="C25" s="57" t="n"/>
      <c r="D25" s="57" t="n"/>
      <c r="E25" s="57" t="n"/>
      <c r="F25" s="57" t="n"/>
      <c r="G25" s="57" t="n"/>
      <c r="H25" s="57" t="n"/>
      <c r="I25" s="57" t="n"/>
      <c r="J25" s="57" t="n"/>
      <c r="K25" s="57" t="n"/>
      <c r="L25" s="57" t="n"/>
      <c r="M25" s="57" t="n"/>
      <c r="N25" s="57" t="n"/>
      <c r="O25" s="57" t="n"/>
    </row>
    <row r="26" ht="20" customHeight="1">
      <c r="A26" s="56" t="n"/>
      <c r="B26" s="56" t="n"/>
      <c r="C26" s="56" t="n"/>
      <c r="D26" s="56" t="n"/>
      <c r="E26" s="56" t="n"/>
      <c r="F26" s="56" t="n"/>
      <c r="G26" s="56" t="n"/>
      <c r="H26" s="56" t="n"/>
      <c r="I26" s="56" t="n"/>
      <c r="J26" s="56" t="n"/>
      <c r="K26" s="56" t="n"/>
      <c r="L26" s="56" t="n"/>
      <c r="M26" s="56" t="n"/>
      <c r="N26" s="56" t="n"/>
      <c r="O26" s="56" t="n"/>
    </row>
    <row r="27" ht="20" customHeight="1">
      <c r="A27" s="57" t="n"/>
      <c r="B27" s="57" t="n"/>
      <c r="C27" s="57" t="n"/>
      <c r="D27" s="57" t="n"/>
      <c r="E27" s="57" t="n"/>
      <c r="F27" s="57" t="n"/>
      <c r="G27" s="57" t="n"/>
      <c r="H27" s="57" t="n"/>
      <c r="I27" s="57" t="n"/>
      <c r="J27" s="57" t="n"/>
      <c r="K27" s="57" t="n"/>
      <c r="L27" s="57" t="n"/>
      <c r="M27" s="57" t="n"/>
      <c r="N27" s="57" t="n"/>
      <c r="O27" s="57" t="n"/>
    </row>
    <row r="28" ht="20" customHeight="1">
      <c r="A28" s="56" t="n"/>
      <c r="B28" s="56" t="n"/>
      <c r="C28" s="56" t="n"/>
      <c r="D28" s="56" t="n"/>
      <c r="E28" s="56" t="n"/>
      <c r="F28" s="56" t="n"/>
      <c r="G28" s="56" t="n"/>
      <c r="H28" s="56" t="n"/>
      <c r="I28" s="56" t="n"/>
      <c r="J28" s="56" t="n"/>
      <c r="K28" s="56" t="n"/>
      <c r="L28" s="56" t="n"/>
      <c r="M28" s="56" t="n"/>
      <c r="N28" s="56" t="n"/>
      <c r="O28" s="56" t="n"/>
    </row>
    <row r="29" ht="20" customHeight="1">
      <c r="A29" s="57" t="n"/>
      <c r="B29" s="57" t="n"/>
      <c r="C29" s="57" t="n"/>
      <c r="D29" s="57" t="n"/>
      <c r="E29" s="57" t="n"/>
      <c r="F29" s="57" t="n"/>
      <c r="G29" s="57" t="n"/>
      <c r="H29" s="57" t="n"/>
      <c r="I29" s="57" t="n"/>
      <c r="J29" s="57" t="n"/>
      <c r="K29" s="57" t="n"/>
      <c r="L29" s="57" t="n"/>
      <c r="M29" s="57" t="n"/>
      <c r="N29" s="57" t="n"/>
      <c r="O29" s="57" t="n"/>
    </row>
    <row r="30" ht="20" customHeight="1">
      <c r="A30" s="56" t="n"/>
      <c r="B30" s="56" t="n"/>
      <c r="C30" s="56" t="n"/>
      <c r="D30" s="56" t="n"/>
      <c r="E30" s="56" t="n"/>
      <c r="F30" s="56" t="n"/>
      <c r="G30" s="56" t="n"/>
      <c r="H30" s="56" t="n"/>
      <c r="I30" s="56" t="n"/>
      <c r="J30" s="56" t="n"/>
      <c r="K30" s="56" t="n"/>
      <c r="L30" s="56" t="n"/>
      <c r="M30" s="56" t="n"/>
      <c r="N30" s="56" t="n"/>
      <c r="O30" s="56" t="n"/>
    </row>
    <row r="31" ht="20" customHeight="1">
      <c r="A31" s="57" t="n"/>
      <c r="B31" s="57" t="n"/>
      <c r="C31" s="57" t="n"/>
      <c r="D31" s="57" t="n"/>
      <c r="E31" s="57" t="n"/>
      <c r="F31" s="57" t="n"/>
      <c r="G31" s="57" t="n"/>
      <c r="H31" s="57" t="n"/>
      <c r="I31" s="57" t="n"/>
      <c r="J31" s="57" t="n"/>
      <c r="K31" s="57" t="n"/>
      <c r="L31" s="57" t="n"/>
      <c r="M31" s="57" t="n"/>
      <c r="N31" s="57" t="n"/>
      <c r="O31" s="57" t="n"/>
    </row>
    <row r="32" ht="20" customHeight="1">
      <c r="A32" s="56" t="n"/>
      <c r="B32" s="56" t="n"/>
      <c r="C32" s="56" t="n"/>
      <c r="D32" s="56" t="n"/>
      <c r="E32" s="56" t="n"/>
      <c r="F32" s="56" t="n"/>
      <c r="G32" s="56" t="n"/>
      <c r="H32" s="56" t="n"/>
      <c r="I32" s="56" t="n"/>
      <c r="J32" s="56" t="n"/>
      <c r="K32" s="56" t="n"/>
      <c r="L32" s="56" t="n"/>
      <c r="M32" s="56" t="n"/>
      <c r="N32" s="56" t="n"/>
      <c r="O32" s="56" t="n"/>
    </row>
    <row r="33" ht="20" customHeight="1">
      <c r="A33" s="57" t="n"/>
      <c r="B33" s="57" t="n"/>
      <c r="C33" s="57" t="n"/>
      <c r="D33" s="57" t="n"/>
      <c r="E33" s="57" t="n"/>
      <c r="F33" s="57" t="n"/>
      <c r="G33" s="57" t="n"/>
      <c r="H33" s="57" t="n"/>
      <c r="I33" s="57" t="n"/>
      <c r="J33" s="57" t="n"/>
      <c r="K33" s="57" t="n"/>
      <c r="L33" s="57" t="n"/>
      <c r="M33" s="57" t="n"/>
      <c r="N33" s="57" t="n"/>
      <c r="O33" s="57" t="n"/>
    </row>
    <row r="34" ht="20" customHeight="1">
      <c r="A34" s="56" t="n"/>
      <c r="B34" s="56" t="n"/>
      <c r="C34" s="56" t="n"/>
      <c r="D34" s="56" t="n"/>
      <c r="E34" s="56" t="n"/>
      <c r="F34" s="56" t="n"/>
      <c r="G34" s="56" t="n"/>
      <c r="H34" s="56" t="n"/>
      <c r="I34" s="56" t="n"/>
      <c r="J34" s="56" t="n"/>
      <c r="K34" s="56" t="n"/>
      <c r="L34" s="56" t="n"/>
      <c r="M34" s="56" t="n"/>
      <c r="N34" s="56" t="n"/>
      <c r="O34" s="56" t="n"/>
    </row>
    <row r="35" ht="20" customHeight="1">
      <c r="A35" s="57" t="n"/>
      <c r="B35" s="57" t="n"/>
      <c r="C35" s="57" t="n"/>
      <c r="D35" s="57" t="n"/>
      <c r="E35" s="57" t="n"/>
      <c r="F35" s="57" t="n"/>
      <c r="G35" s="57" t="n"/>
      <c r="H35" s="57" t="n"/>
      <c r="I35" s="57" t="n"/>
      <c r="J35" s="57" t="n"/>
      <c r="K35" s="57" t="n"/>
      <c r="L35" s="57" t="n"/>
      <c r="M35" s="57" t="n"/>
      <c r="N35" s="57" t="n"/>
      <c r="O35" s="57" t="n"/>
    </row>
    <row r="36" ht="20" customHeight="1">
      <c r="A36" s="56" t="n"/>
      <c r="B36" s="56" t="n"/>
      <c r="C36" s="56" t="n"/>
      <c r="D36" s="56" t="n"/>
      <c r="E36" s="56" t="n"/>
      <c r="F36" s="56" t="n"/>
      <c r="G36" s="56" t="n"/>
      <c r="H36" s="56" t="n"/>
      <c r="I36" s="56" t="n"/>
      <c r="J36" s="56" t="n"/>
      <c r="K36" s="56" t="n"/>
      <c r="L36" s="56" t="n"/>
      <c r="M36" s="56" t="n"/>
      <c r="N36" s="56" t="n"/>
      <c r="O36" s="56" t="n"/>
    </row>
    <row r="37" ht="20" customHeight="1">
      <c r="A37" s="57" t="n"/>
      <c r="B37" s="57" t="n"/>
      <c r="C37" s="57" t="n"/>
      <c r="D37" s="57" t="n"/>
      <c r="E37" s="57" t="n"/>
      <c r="F37" s="57" t="n"/>
      <c r="G37" s="57" t="n"/>
      <c r="H37" s="57" t="n"/>
      <c r="I37" s="57" t="n"/>
      <c r="J37" s="57" t="n"/>
      <c r="K37" s="57" t="n"/>
      <c r="L37" s="57" t="n"/>
      <c r="M37" s="57" t="n"/>
      <c r="N37" s="57" t="n"/>
      <c r="O37" s="57" t="n"/>
    </row>
    <row r="38" ht="20" customHeight="1">
      <c r="A38" s="56" t="n"/>
      <c r="B38" s="56" t="n"/>
      <c r="C38" s="56" t="n"/>
      <c r="D38" s="56" t="n"/>
      <c r="E38" s="56" t="n"/>
      <c r="F38" s="56" t="n"/>
      <c r="G38" s="56" t="n"/>
      <c r="H38" s="56" t="n"/>
      <c r="I38" s="56" t="n"/>
      <c r="J38" s="56" t="n"/>
      <c r="K38" s="56" t="n"/>
      <c r="L38" s="56" t="n"/>
      <c r="M38" s="56" t="n"/>
      <c r="N38" s="56" t="n"/>
      <c r="O38" s="56" t="n"/>
    </row>
    <row r="39" ht="20" customHeight="1">
      <c r="A39" s="57" t="n"/>
      <c r="B39" s="57" t="n"/>
      <c r="C39" s="57" t="n"/>
      <c r="D39" s="57" t="n"/>
      <c r="E39" s="57" t="n"/>
      <c r="F39" s="57" t="n"/>
      <c r="G39" s="57" t="n"/>
      <c r="H39" s="57" t="n"/>
      <c r="I39" s="57" t="n"/>
      <c r="J39" s="57" t="n"/>
      <c r="K39" s="57" t="n"/>
      <c r="L39" s="57" t="n"/>
      <c r="M39" s="57" t="n"/>
      <c r="N39" s="57" t="n"/>
      <c r="O39" s="57" t="n"/>
    </row>
    <row r="40" ht="20" customHeight="1">
      <c r="A40" s="56" t="n"/>
      <c r="B40" s="56" t="n"/>
      <c r="C40" s="56" t="n"/>
      <c r="D40" s="56" t="n"/>
      <c r="E40" s="56" t="n"/>
      <c r="F40" s="56" t="n"/>
      <c r="G40" s="56" t="n"/>
      <c r="H40" s="56" t="n"/>
      <c r="I40" s="56" t="n"/>
      <c r="J40" s="56" t="n"/>
      <c r="K40" s="56" t="n"/>
      <c r="L40" s="56" t="n"/>
      <c r="M40" s="56" t="n"/>
      <c r="N40" s="56" t="n"/>
      <c r="O40" s="56" t="n"/>
    </row>
    <row r="41" ht="20" customHeight="1">
      <c r="A41" s="57" t="n"/>
      <c r="B41" s="57" t="n"/>
      <c r="C41" s="57" t="n"/>
      <c r="D41" s="57" t="n"/>
      <c r="E41" s="57" t="n"/>
      <c r="F41" s="57" t="n"/>
      <c r="G41" s="57" t="n"/>
      <c r="H41" s="57" t="n"/>
      <c r="I41" s="57" t="n"/>
      <c r="J41" s="57" t="n"/>
      <c r="K41" s="57" t="n"/>
      <c r="L41" s="57" t="n"/>
      <c r="M41" s="57" t="n"/>
      <c r="N41" s="57" t="n"/>
      <c r="O41" s="57" t="n"/>
    </row>
    <row r="42" ht="20" customHeight="1">
      <c r="A42" s="56" t="n"/>
      <c r="B42" s="56" t="n"/>
      <c r="C42" s="56" t="n"/>
      <c r="D42" s="56" t="n"/>
      <c r="E42" s="56" t="n"/>
      <c r="F42" s="56" t="n"/>
      <c r="G42" s="56" t="n"/>
      <c r="H42" s="56" t="n"/>
      <c r="I42" s="56" t="n"/>
      <c r="J42" s="56" t="n"/>
      <c r="K42" s="56" t="n"/>
      <c r="L42" s="56" t="n"/>
      <c r="M42" s="56" t="n"/>
      <c r="N42" s="56" t="n"/>
      <c r="O42" s="56" t="n"/>
    </row>
    <row r="43" ht="20" customHeight="1">
      <c r="A43" s="57" t="n"/>
      <c r="B43" s="57" t="n"/>
      <c r="C43" s="57" t="n"/>
      <c r="D43" s="57" t="n"/>
      <c r="E43" s="57" t="n"/>
      <c r="F43" s="57" t="n"/>
      <c r="G43" s="57" t="n"/>
      <c r="H43" s="57" t="n"/>
      <c r="I43" s="57" t="n"/>
      <c r="J43" s="57" t="n"/>
      <c r="K43" s="57" t="n"/>
      <c r="L43" s="57" t="n"/>
      <c r="M43" s="57" t="n"/>
      <c r="N43" s="57" t="n"/>
      <c r="O43" s="57" t="n"/>
    </row>
    <row r="44" ht="20" customHeight="1">
      <c r="A44" s="56" t="n"/>
      <c r="B44" s="56" t="n"/>
      <c r="C44" s="56" t="n"/>
      <c r="D44" s="56" t="n"/>
      <c r="E44" s="56" t="n"/>
      <c r="F44" s="56" t="n"/>
      <c r="G44" s="56" t="n"/>
      <c r="H44" s="56" t="n"/>
      <c r="I44" s="56" t="n"/>
      <c r="J44" s="56" t="n"/>
      <c r="K44" s="56" t="n"/>
      <c r="L44" s="56" t="n"/>
      <c r="M44" s="56" t="n"/>
      <c r="N44" s="56" t="n"/>
      <c r="O44" s="56" t="n"/>
    </row>
    <row r="45" ht="20" customHeight="1">
      <c r="A45" s="57" t="n"/>
      <c r="B45" s="57" t="n"/>
      <c r="C45" s="57" t="n"/>
      <c r="D45" s="57" t="n"/>
      <c r="E45" s="57" t="n"/>
      <c r="F45" s="57" t="n"/>
      <c r="G45" s="57" t="n"/>
      <c r="H45" s="57" t="n"/>
      <c r="I45" s="57" t="n"/>
      <c r="J45" s="57" t="n"/>
      <c r="K45" s="57" t="n"/>
      <c r="L45" s="57" t="n"/>
      <c r="M45" s="57" t="n"/>
      <c r="N45" s="57" t="n"/>
      <c r="O45" s="57" t="n"/>
    </row>
    <row r="46" ht="20" customHeight="1">
      <c r="A46" s="56" t="n"/>
      <c r="B46" s="56" t="n"/>
      <c r="C46" s="56" t="n"/>
      <c r="D46" s="56" t="n"/>
      <c r="E46" s="56" t="n"/>
      <c r="F46" s="56" t="n"/>
      <c r="G46" s="56" t="n"/>
      <c r="H46" s="56" t="n"/>
      <c r="I46" s="56" t="n"/>
      <c r="J46" s="56" t="n"/>
      <c r="K46" s="56" t="n"/>
      <c r="L46" s="56" t="n"/>
      <c r="M46" s="56" t="n"/>
      <c r="N46" s="56" t="n"/>
      <c r="O46" s="56" t="n"/>
    </row>
    <row r="47" ht="20" customHeight="1">
      <c r="A47" s="57" t="n"/>
      <c r="B47" s="57" t="n"/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</row>
    <row r="48" ht="20" customHeight="1">
      <c r="A48" s="56" t="n"/>
      <c r="B48" s="56" t="n"/>
      <c r="C48" s="56" t="n"/>
      <c r="D48" s="56" t="n"/>
      <c r="E48" s="56" t="n"/>
      <c r="F48" s="56" t="n"/>
      <c r="G48" s="56" t="n"/>
      <c r="H48" s="56" t="n"/>
      <c r="I48" s="56" t="n"/>
      <c r="J48" s="56" t="n"/>
      <c r="K48" s="56" t="n"/>
      <c r="L48" s="56" t="n"/>
      <c r="M48" s="56" t="n"/>
      <c r="N48" s="56" t="n"/>
      <c r="O48" s="56" t="n"/>
    </row>
    <row r="49" ht="20" customHeight="1">
      <c r="A49" s="57" t="n"/>
      <c r="B49" s="57" t="n"/>
      <c r="C49" s="57" t="n"/>
      <c r="D49" s="57" t="n"/>
      <c r="E49" s="57" t="n"/>
      <c r="F49" s="57" t="n"/>
      <c r="G49" s="57" t="n"/>
      <c r="H49" s="57" t="n"/>
      <c r="I49" s="57" t="n"/>
      <c r="J49" s="57" t="n"/>
      <c r="K49" s="57" t="n"/>
      <c r="L49" s="57" t="n"/>
      <c r="M49" s="57" t="n"/>
      <c r="N49" s="57" t="n"/>
      <c r="O49" s="57" t="n"/>
    </row>
    <row r="50" ht="20" customHeight="1">
      <c r="A50" s="56" t="n"/>
      <c r="B50" s="56" t="n"/>
      <c r="C50" s="56" t="n"/>
      <c r="D50" s="56" t="n"/>
      <c r="E50" s="56" t="n"/>
      <c r="F50" s="56" t="n"/>
      <c r="G50" s="56" t="n"/>
      <c r="H50" s="56" t="n"/>
      <c r="I50" s="56" t="n"/>
      <c r="J50" s="56" t="n"/>
      <c r="K50" s="56" t="n"/>
      <c r="L50" s="56" t="n"/>
      <c r="M50" s="56" t="n"/>
      <c r="N50" s="56" t="n"/>
      <c r="O50" s="56" t="n"/>
    </row>
    <row r="51" ht="20" customHeight="1">
      <c r="A51" s="57" t="n"/>
      <c r="B51" s="57" t="n"/>
      <c r="C51" s="57" t="n"/>
      <c r="D51" s="57" t="n"/>
      <c r="E51" s="57" t="n"/>
      <c r="F51" s="57" t="n"/>
      <c r="G51" s="57" t="n"/>
      <c r="H51" s="57" t="n"/>
      <c r="I51" s="57" t="n"/>
      <c r="J51" s="57" t="n"/>
      <c r="K51" s="57" t="n"/>
      <c r="L51" s="57" t="n"/>
      <c r="M51" s="57" t="n"/>
      <c r="N51" s="57" t="n"/>
      <c r="O51" s="57" t="n"/>
    </row>
    <row r="52" ht="20" customHeight="1">
      <c r="A52" s="56" t="n"/>
      <c r="B52" s="56" t="n"/>
      <c r="C52" s="56" t="n"/>
      <c r="D52" s="56" t="n"/>
      <c r="E52" s="56" t="n"/>
      <c r="F52" s="56" t="n"/>
      <c r="G52" s="56" t="n"/>
      <c r="H52" s="56" t="n"/>
      <c r="I52" s="56" t="n"/>
      <c r="J52" s="56" t="n"/>
      <c r="K52" s="56" t="n"/>
      <c r="L52" s="56" t="n"/>
      <c r="M52" s="56" t="n"/>
      <c r="N52" s="56" t="n"/>
      <c r="O52" s="56" t="n"/>
    </row>
  </sheetData>
  <mergeCells count="4">
    <mergeCell ref="A5:O5"/>
    <mergeCell ref="A3:O3"/>
    <mergeCell ref="A4:O4"/>
    <mergeCell ref="A1:L1"/>
  </mergeCells>
  <conditionalFormatting sqref="M6:M52">
    <cfRule type="colorScale" priority="1">
      <colorScale>
        <cfvo type="num" val="0"/>
        <cfvo type="num" val="5"/>
        <cfvo type="num" val="10"/>
        <color rgb="00FF5252"/>
        <color rgb="00FFEB3B"/>
        <color rgb="004CAF5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K4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0" customWidth="1" min="3" max="3"/>
    <col width="36" customWidth="1" min="4" max="4"/>
    <col width="40" customWidth="1" min="5" max="5"/>
    <col width="18" customWidth="1" min="6" max="6"/>
    <col width="4" customWidth="1" min="7" max="7"/>
    <col width="26" customWidth="1" min="8" max="8"/>
    <col width="16" customWidth="1" min="9" max="9"/>
    <col width="22" customWidth="1" min="10" max="10"/>
    <col width="40" customWidth="1" min="11" max="11"/>
  </cols>
  <sheetData>
    <row r="1" ht="30" customHeight="1">
      <c r="B1" s="52" t="inlineStr">
        <is>
          <t>📐  THANG ĐIỂM CHI TIẾT &amp; TRỌNG SỐ CÁC TIÊU CHÍ</t>
        </is>
      </c>
    </row>
    <row r="3" ht="22" customHeight="1">
      <c r="B3" s="58" t="inlineStr">
        <is>
          <t>C. CHỈ SỐ TƯƠNG TÁC (Trọng số nhóm: 35%)</t>
        </is>
      </c>
      <c r="H3" s="59" t="inlineStr">
        <is>
          <t>📘 BENCHMARK TIKTOK (khung hiện có)</t>
        </is>
      </c>
      <c r="I3" s="60" t="n"/>
      <c r="J3" s="60" t="n"/>
      <c r="K3" s="60" t="n"/>
    </row>
    <row r="4" ht="32" customHeight="1">
      <c r="B4" s="26" t="inlineStr">
        <is>
          <t>Tiêu chí</t>
        </is>
      </c>
      <c r="C4" s="26" t="inlineStr">
        <is>
          <t>Trọng số</t>
        </is>
      </c>
      <c r="D4" s="26" t="inlineStr">
        <is>
          <t>Ngưỡng điểm</t>
        </is>
      </c>
      <c r="E4" s="26" t="inlineStr">
        <is>
          <t>Mô tả chi tiết</t>
        </is>
      </c>
      <c r="F4" s="26" t="inlineStr">
        <is>
          <t>Benchmark ngành</t>
        </is>
      </c>
      <c r="H4" s="26" t="inlineStr">
        <is>
          <t>Chỉ số</t>
        </is>
      </c>
      <c r="I4" s="26" t="inlineStr">
        <is>
          <t>Mức tốt</t>
        </is>
      </c>
      <c r="J4" s="26" t="inlineStr">
        <is>
          <t>Mức rất tốt</t>
        </is>
      </c>
      <c r="K4" s="26" t="inlineStr">
        <is>
          <t>Ghi chú</t>
        </is>
      </c>
    </row>
    <row r="5" ht="42" customHeight="1">
      <c r="B5" s="30" t="inlineStr">
        <is>
          <t>Lượt xem (Views)</t>
        </is>
      </c>
      <c r="C5" s="30" t="inlineStr">
        <is>
          <t>8%</t>
        </is>
      </c>
      <c r="D5" s="30" t="inlineStr">
        <is>
          <t>1=&lt;1K | 3=1K-10K | 5=10K-50K | 7=50K-200K | 9=200K-1M | 10=&gt;1M</t>
        </is>
      </c>
      <c r="E5" s="30" t="inlineStr">
        <is>
          <t>Chỉ số reach cơ bản. Video viral thường &gt;500K views trong 48h đầu.</t>
        </is>
      </c>
      <c r="F5" s="30" t="inlineStr">
        <is>
          <t>Tốt: &gt;50K | Rất tốt: &gt;200K</t>
        </is>
      </c>
      <c r="H5" s="30" t="inlineStr">
        <is>
          <t>ER</t>
        </is>
      </c>
      <c r="I5" s="30" t="inlineStr">
        <is>
          <t>&gt;3%</t>
        </is>
      </c>
      <c r="J5" s="30" t="inlineStr">
        <is>
          <t>&gt;5%</t>
        </is>
      </c>
      <c r="K5" s="30" t="inlineStr">
        <is>
          <t>Phù hợp video organic/shop content ngắn, nhịp nhanh.</t>
        </is>
      </c>
    </row>
    <row r="6" ht="42" customHeight="1">
      <c r="B6" s="61" t="inlineStr">
        <is>
          <t>Engagement Rate – ER</t>
        </is>
      </c>
      <c r="C6" s="61" t="inlineStr">
        <is>
          <t>10%</t>
        </is>
      </c>
      <c r="D6" s="61" t="inlineStr">
        <is>
          <t>1=&lt;0.5% | 3=0.5-1% | 5=1-3% | 7=3-5% | 9=5-10% | 10=&gt;10%</t>
        </is>
      </c>
      <c r="E6" s="61" t="inlineStr">
        <is>
          <t>ER = (Likes+Comments+Shares+Saves)/Views×100%. Đây là chỉ số quan trọng nhất phản ánh chất lượng nội dung.</t>
        </is>
      </c>
      <c r="F6" s="61" t="inlineStr">
        <is>
          <t>Tốt: &gt;3% | Rất tốt: &gt;5%</t>
        </is>
      </c>
      <c r="H6" s="61" t="inlineStr">
        <is>
          <t>Completion Rate</t>
        </is>
      </c>
      <c r="I6" s="61" t="inlineStr">
        <is>
          <t>&gt;30%</t>
        </is>
      </c>
      <c r="J6" s="61" t="inlineStr">
        <is>
          <t>&gt;50%</t>
        </is>
      </c>
      <c r="K6" s="61" t="inlineStr">
        <is>
          <t>Video ngắn có hook mạnh thường giữ chân tốt hơn.</t>
        </is>
      </c>
    </row>
    <row r="7" ht="42" customHeight="1">
      <c r="B7" s="30" t="inlineStr">
        <is>
          <t>Completion Rate</t>
        </is>
      </c>
      <c r="C7" s="30" t="inlineStr">
        <is>
          <t>8%</t>
        </is>
      </c>
      <c r="D7" s="30" t="inlineStr">
        <is>
          <t>1=&lt;10% | 3=10-20% | 5=20-35% | 7=35-50% | 9=50-70% | 10=&gt;70%</t>
        </is>
      </c>
      <c r="E7" s="30" t="inlineStr">
        <is>
          <t>Tỉ lệ người xem hết video. Completion rate cao = nội dung hấp dẫn từ đầu đến cuối.</t>
        </is>
      </c>
      <c r="F7" s="30" t="inlineStr">
        <is>
          <t>Tốt: &gt;30% | Rất tốt: &gt;50%</t>
        </is>
      </c>
      <c r="H7" s="30" t="inlineStr">
        <is>
          <t>CTR CTA/Giỏ hàng</t>
        </is>
      </c>
      <c r="I7" s="30" t="inlineStr">
        <is>
          <t>&gt;1%</t>
        </is>
      </c>
      <c r="J7" s="30" t="inlineStr">
        <is>
          <t>&gt;3%</t>
        </is>
      </c>
      <c r="K7" s="30" t="inlineStr">
        <is>
          <t>Áp dụng khi có link bio, TikTok Shop hoặc CTA mua hàng rõ.</t>
        </is>
      </c>
    </row>
    <row r="8" ht="42" customHeight="1">
      <c r="B8" s="61" t="inlineStr">
        <is>
          <t>CTR Giỏ hàng</t>
        </is>
      </c>
      <c r="C8" s="61" t="inlineStr">
        <is>
          <t>9%</t>
        </is>
      </c>
      <c r="D8" s="61" t="inlineStr">
        <is>
          <t>1=&lt;0.3% | 3=0.3-0.7% | 5=0.7-1.5% | 7=1.5-3% | 9=3-5% | 10=&gt;5%</t>
        </is>
      </c>
      <c r="E8" s="61" t="inlineStr">
        <is>
          <t>Tỉ lệ nhấp link mua hàng. Chỉ số này phản ánh trực tiếp hiệu quả bán hàng của video.</t>
        </is>
      </c>
      <c r="F8" s="61" t="inlineStr">
        <is>
          <t>Tốt: &gt;1% | Rất tốt: &gt;3%</t>
        </is>
      </c>
      <c r="H8" s="61" t="inlineStr">
        <is>
          <t>Saves</t>
        </is>
      </c>
      <c r="I8" s="61" t="inlineStr">
        <is>
          <t>&gt;500</t>
        </is>
      </c>
      <c r="J8" s="61" t="inlineStr">
        <is>
          <t>&gt;2K</t>
        </is>
      </c>
      <c r="K8" s="61" t="inlineStr">
        <is>
          <t>Đặc biệt hữu ích với nội dung tips, công thức, checklist.</t>
        </is>
      </c>
    </row>
    <row r="9" ht="35" customHeight="1">
      <c r="B9" s="30" t="inlineStr">
        <is>
          <t>Lượt lưu (Saves)</t>
        </is>
      </c>
      <c r="C9" s="30" t="inlineStr">
        <is>
          <t>5%</t>
        </is>
      </c>
      <c r="D9" s="30" t="inlineStr">
        <is>
          <t>1=&lt;10 | 3=10-50 | 5=50-200 | 7=200-1K | 9=1K-5K | 10=&gt;5K</t>
        </is>
      </c>
      <c r="E9" s="30" t="inlineStr">
        <is>
          <t>Lượt lưu cho thấy nội dung có giá trị tham khảo lâu dài – đặc biệt quan trọng cho sản phẩm dinh dưỡng.</t>
        </is>
      </c>
      <c r="F9" s="30" t="inlineStr">
        <is>
          <t>Tốt: &gt;500 | Rất tốt: &gt;2K</t>
        </is>
      </c>
    </row>
    <row r="11" ht="22" customHeight="1">
      <c r="B11" s="62" t="inlineStr">
        <is>
          <t>D. CHỈ SỐ TĂNG TRƯỞNG (Trọng số nhóm: 10%)</t>
        </is>
      </c>
      <c r="H11" s="63" t="inlineStr">
        <is>
          <t>📗 BENCHMARK FACEBOOK (ước lượng tham khảo theo thông lệ ngành)</t>
        </is>
      </c>
      <c r="I11" s="60" t="n"/>
      <c r="J11" s="60" t="n"/>
      <c r="K11" s="60" t="n"/>
    </row>
    <row r="12" ht="32" customHeight="1">
      <c r="B12" s="27" t="inlineStr">
        <is>
          <t>Tiêu chí</t>
        </is>
      </c>
      <c r="C12" s="27" t="inlineStr">
        <is>
          <t>Trọng số</t>
        </is>
      </c>
      <c r="D12" s="27" t="inlineStr">
        <is>
          <t>Ngưỡng điểm</t>
        </is>
      </c>
      <c r="E12" s="27" t="inlineStr">
        <is>
          <t>Mô tả chi tiết</t>
        </is>
      </c>
      <c r="F12" s="27" t="inlineStr">
        <is>
          <t>Benchmark ngành</t>
        </is>
      </c>
      <c r="H12" s="27" t="inlineStr">
        <is>
          <t>Chỉ số</t>
        </is>
      </c>
      <c r="I12" s="27" t="inlineStr">
        <is>
          <t>Mức tốt</t>
        </is>
      </c>
      <c r="J12" s="27" t="inlineStr">
        <is>
          <t>Mức rất tốt</t>
        </is>
      </c>
      <c r="K12" s="27" t="inlineStr">
        <is>
          <t>Ghi chú</t>
        </is>
      </c>
    </row>
    <row r="13" ht="42" customHeight="1">
      <c r="B13" s="30" t="inlineStr">
        <is>
          <t>Follow mới từ video</t>
        </is>
      </c>
      <c r="C13" s="30" t="inlineStr">
        <is>
          <t>5%</t>
        </is>
      </c>
      <c r="D13" s="30" t="inlineStr">
        <is>
          <t>1=&lt;5 | 3=5-20 | 5=20-100 | 7=100-500 | 9=500-2K | 10=&gt;2K</t>
        </is>
      </c>
      <c r="E13" s="30" t="inlineStr">
        <is>
          <t>Số lượng follow mới nhờ một video. Quan trọng giai đoạn xây kênh từ 0.</t>
        </is>
      </c>
      <c r="F13" s="30" t="inlineStr">
        <is>
          <t>Tốt: &gt;100 | Rất tốt: &gt;500</t>
        </is>
      </c>
      <c r="H13" s="30" t="inlineStr">
        <is>
          <t>ER</t>
        </is>
      </c>
      <c r="I13" s="30" t="inlineStr">
        <is>
          <t>≈1-2%</t>
        </is>
      </c>
      <c r="J13" s="30" t="inlineStr">
        <is>
          <t>&gt;2.5-3%</t>
        </is>
      </c>
      <c r="K13" s="30" t="inlineStr">
        <is>
          <t>Facebook thường có ER thấp hơn TikTok với cùng ngành; nên so trong cùng placement.</t>
        </is>
      </c>
    </row>
    <row r="14" ht="42" customHeight="1">
      <c r="B14" s="64" t="inlineStr">
        <is>
          <t>Điểm bắt trend (1-10)</t>
        </is>
      </c>
      <c r="C14" s="64" t="inlineStr">
        <is>
          <t>5%</t>
        </is>
      </c>
      <c r="D14" s="64" t="inlineStr">
        <is>
          <t>1=Không trend | 4=Trend cũ | 7=Đang trend | 10=Là người tạo trend</t>
        </is>
      </c>
      <c r="E14" s="64" t="inlineStr">
        <is>
          <t>Đánh giá chủ quan mức độ video khai thác xu hướng âm nhạc/challenge/chủ đề viral.</t>
        </is>
      </c>
      <c r="F14" s="64" t="inlineStr">
        <is>
          <t>Nên bắt trend khi độ phủ &gt;70% TikTok VN</t>
        </is>
      </c>
      <c r="H14" s="64" t="inlineStr">
        <is>
          <t>Completion / Watch Rate</t>
        </is>
      </c>
      <c r="I14" s="64" t="inlineStr">
        <is>
          <t>≈15-25%</t>
        </is>
      </c>
      <c r="J14" s="64" t="inlineStr">
        <is>
          <t>&gt;25-35%</t>
        </is>
      </c>
      <c r="K14" s="64" t="inlineStr">
        <is>
          <t>Video Feed/Watch dài hơn nên tỉ lệ xem hết thấp hơn; có thể tham chiếu ThruPlay hoặc watch rate.</t>
        </is>
      </c>
    </row>
    <row r="15" ht="42" customHeight="1">
      <c r="H15" s="30" t="inlineStr">
        <is>
          <t>CTR CTA / Link</t>
        </is>
      </c>
      <c r="I15" s="30" t="inlineStr">
        <is>
          <t>≈0.5-1.0%</t>
        </is>
      </c>
      <c r="J15" s="30" t="inlineStr">
        <is>
          <t>&gt;1.0-1.8%</t>
        </is>
      </c>
      <c r="K15" s="30" t="inlineStr">
        <is>
          <t>Dùng link CTR, outbound CTR hoặc CTA click rate tùy báo cáo Meta.</t>
        </is>
      </c>
    </row>
    <row r="16" ht="22" customHeight="1">
      <c r="B16" s="65" t="inlineStr">
        <is>
          <t>E. CHẤT LƯỢNG NỘI DUNG – HOOK (Trọng số nhóm: 25% | trong Điểm Nội dung: 45%)</t>
        </is>
      </c>
      <c r="H16" s="64" t="inlineStr">
        <is>
          <t>3-second video views / Retention sớm</t>
        </is>
      </c>
      <c r="I16" s="64" t="inlineStr">
        <is>
          <t>Theo dõi xu hướng tăng</t>
        </is>
      </c>
      <c r="J16" s="64" t="inlineStr">
        <is>
          <t>Tăng rõ theo test</t>
        </is>
      </c>
      <c r="K16" s="64" t="inlineStr">
        <is>
          <t>Chỉ số chẩn đoán sớm cho hook; không thay thế hoàn toàn completion rate.</t>
        </is>
      </c>
    </row>
    <row r="17" ht="30" customHeight="1">
      <c r="B17" s="53" t="inlineStr">
        <is>
          <t>Tiêu chí</t>
        </is>
      </c>
      <c r="C17" s="53" t="inlineStr">
        <is>
          <t>Trọng số</t>
        </is>
      </c>
      <c r="D17" s="53" t="inlineStr">
        <is>
          <t>Ngưỡng điểm</t>
        </is>
      </c>
      <c r="E17" s="53" t="inlineStr">
        <is>
          <t>Mô tả chi tiết</t>
        </is>
      </c>
      <c r="F17" s="53" t="inlineStr">
        <is>
          <t>Ví dụ tốt</t>
        </is>
      </c>
    </row>
    <row r="18" ht="22" customHeight="1">
      <c r="B18" s="30" t="inlineStr">
        <is>
          <t>Điểm Hook tổng (1-10)</t>
        </is>
      </c>
      <c r="C18" s="30" t="inlineStr">
        <is>
          <t>25%</t>
        </is>
      </c>
      <c r="D18" s="30" t="inlineStr">
        <is>
          <t>1-3=Nhàm chán | 4-5=Bình thường | 6-7=Tốt | 8-9=Rất tốt | 10=Xuất sắc</t>
        </is>
      </c>
      <c r="E18" s="30" t="inlineStr">
        <is>
          <t>Đánh giá tổng thể 5s đầu: có gây tò mò không? Có đặt câu hỏi/shock/pain point không? Với Facebook có thể đánh giá linh hoạt trong 3–5 giây đầu do nhịp lướt chậm hơn.</t>
        </is>
      </c>
      <c r="F18" s="30" t="inlineStr">
        <is>
          <t>"Ăn chay 3 tháng, da tôi thay đổi không ngờ..." / Cầm đồ ăn vứt vào thùng gây shock</t>
        </is>
      </c>
      <c r="H18" s="66" t="inlineStr">
        <is>
          <t>📝 QUY ĐỔI CHỈ SỐ META → KHUNG NÀY</t>
        </is>
      </c>
      <c r="I18" s="60" t="n"/>
      <c r="J18" s="60" t="n"/>
      <c r="K18" s="60" t="n"/>
    </row>
    <row r="19" ht="32" customHeight="1">
      <c r="B19" s="67" t="inlineStr">
        <is>
          <t>Pain point rõ ràng</t>
        </is>
      </c>
      <c r="C19" s="67" t="inlineStr">
        <is>
          <t>—</t>
        </is>
      </c>
      <c r="D19" s="67" t="inlineStr">
        <is>
          <t>Y = có nêu pain point rõ ràng ngay 5s đầu
N = không có</t>
        </is>
      </c>
      <c r="E19" s="67" t="inlineStr">
        <is>
          <t>Nêu vấn đề khách hàng đang gặp phải: thiếu năng lượng, da xấu, thiếu protein khi chay,...</t>
        </is>
      </c>
      <c r="F19" s="67" t="inlineStr">
        <is>
          <t>"Bạn ăn chay mà luôn mệt mỏi? Đây là lý do..."</t>
        </is>
      </c>
      <c r="H19" s="24" t="inlineStr">
        <is>
          <t>Nguồn Meta</t>
        </is>
      </c>
      <c r="I19" s="24" t="inlineStr">
        <is>
          <t>Nhập vào cột</t>
        </is>
      </c>
      <c r="J19" s="24" t="inlineStr">
        <is>
          <t>Mức ưu tiên</t>
        </is>
      </c>
      <c r="K19" s="24" t="inlineStr">
        <is>
          <t>Ghi chú</t>
        </is>
      </c>
    </row>
    <row r="20" ht="42" customHeight="1">
      <c r="B20" s="30" t="inlineStr">
        <is>
          <t>Lời thoại gây tò mò</t>
        </is>
      </c>
      <c r="C20" s="30" t="inlineStr">
        <is>
          <t>—</t>
        </is>
      </c>
      <c r="D20" s="30" t="inlineStr">
        <is>
          <t>Câu hỏi mở / câu khẳng định gây shock / con số bất ngờ</t>
        </is>
      </c>
      <c r="E20" s="30" t="inlineStr">
        <is>
          <t>Script hook quan trọng: phải có móc câu rõ ràng trong 3 giây đầu tiên.</t>
        </is>
      </c>
      <c r="F20" s="30" t="inlineStr">
        <is>
          <t>"90% người ăn chay đang thiếu chất này mà không biết"</t>
        </is>
      </c>
      <c r="H20" s="30" t="inlineStr">
        <is>
          <t>ThruPlay / video plays at 95%+</t>
        </is>
      </c>
      <c r="I20" s="30" t="inlineStr">
        <is>
          <t>Completion Rate (%)</t>
        </is>
      </c>
      <c r="J20" s="30" t="inlineStr">
        <is>
          <t>Ưu tiên cao</t>
        </is>
      </c>
      <c r="K20" s="30" t="inlineStr">
        <is>
          <t>Dùng khi campaign tối ưu view/video completion.</t>
        </is>
      </c>
    </row>
    <row r="21" ht="42" customHeight="1">
      <c r="B21" s="67" t="inlineStr">
        <is>
          <t>Góc máy &amp; Bối cảnh</t>
        </is>
      </c>
      <c r="C21" s="67" t="inlineStr">
        <is>
          <t>—</t>
        </is>
      </c>
      <c r="D21" s="67" t="inlineStr">
        <is>
          <t>Close-up mặt = tạo kết nối | Overhead = demo sản phẩm | Wide = lifestyle</t>
        </is>
      </c>
      <c r="E21" s="67" t="inlineStr">
        <is>
          <t>Góc máy close-up mặt người dùng tăng empathy. Bối cảnh sạch, ánh sáng tốt.</t>
        </is>
      </c>
      <c r="F21" s="67" t="inlineStr">
        <is>
          <t>Close-up mặt người dùng kết hợp sản phẩm cầm tay</t>
        </is>
      </c>
      <c r="H21" s="61" t="inlineStr">
        <is>
          <t>Average Watch Time + tỉ lệ xem các mốc</t>
        </is>
      </c>
      <c r="I21" s="61" t="inlineStr">
        <is>
          <t>Completion Rate (%)</t>
        </is>
      </c>
      <c r="J21" s="61" t="inlineStr">
        <is>
          <t>Ưu tiên trung bình</t>
        </is>
      </c>
      <c r="K21" s="61" t="inlineStr">
        <is>
          <t>Nếu không có completion trực tiếp, dùng để ước lượng chất lượng giữ chân.</t>
        </is>
      </c>
    </row>
    <row r="22" ht="42" customHeight="1">
      <c r="H22" s="30" t="inlineStr">
        <is>
          <t>Link CTR / Outbound CTR</t>
        </is>
      </c>
      <c r="I22" s="30" t="inlineStr">
        <is>
          <t>CTR Giỏ hàng (%)</t>
        </is>
      </c>
      <c r="J22" s="30" t="inlineStr">
        <is>
          <t>Ưu tiên cao</t>
        </is>
      </c>
      <c r="K22" s="30" t="inlineStr">
        <is>
          <t>Chọn đúng chỉ số gần nhất với hành vi click CTA.</t>
        </is>
      </c>
    </row>
    <row r="23" ht="42" customHeight="1">
      <c r="B23" s="58" t="inlineStr">
        <is>
          <t>F. CHẤT LƯỢNG NỘI DUNG – THÂN BÀI (Trọng số nhóm: 20% | trong Điểm ND: 35%)</t>
        </is>
      </c>
      <c r="H23" s="61" t="inlineStr">
        <is>
          <t>Love/Haha/Wow/Sad/Angry</t>
        </is>
      </c>
      <c r="I23" s="61" t="inlineStr">
        <is>
          <t>Ghi chú định tính</t>
        </is>
      </c>
      <c r="J23" s="61" t="inlineStr">
        <is>
          <t>Bổ trợ</t>
        </is>
      </c>
      <c r="K23" s="61" t="inlineStr">
        <is>
          <t>Không cộng riêng vào composite nhưng hữu ích để đọc cảm xúc phản hồi.</t>
        </is>
      </c>
    </row>
    <row r="24" ht="30" customHeight="1">
      <c r="B24" s="26" t="inlineStr">
        <is>
          <t>Tiêu chí</t>
        </is>
      </c>
      <c r="C24" s="26" t="inlineStr">
        <is>
          <t>Trọng số</t>
        </is>
      </c>
      <c r="D24" s="26" t="inlineStr">
        <is>
          <t>Ngưỡng điểm</t>
        </is>
      </c>
      <c r="E24" s="26" t="inlineStr">
        <is>
          <t>Mô tả chi tiết</t>
        </is>
      </c>
      <c r="F24" s="26" t="inlineStr">
        <is>
          <t>Ví dụ tốt</t>
        </is>
      </c>
    </row>
    <row r="25" ht="35" customHeight="1">
      <c r="B25" s="30" t="inlineStr">
        <is>
          <t>Điểm Thân bài (1-10)</t>
        </is>
      </c>
      <c r="C25" s="30" t="inlineStr">
        <is>
          <t>20%</t>
        </is>
      </c>
      <c r="D25" s="30" t="inlineStr">
        <is>
          <t>1-3=Rối rắm | 4-5=Thiếu logic | 6-7=Rõ ràng | 8-9=Thuyết phục | 10=Chuyển đổi cao</t>
        </is>
      </c>
      <c r="E25" s="30" t="inlineStr">
        <is>
          <t>Đánh giá mạch nội dung: có logic không, có bằng chứng không, có giữ được sự chú ý không.</t>
        </is>
      </c>
      <c r="F25" s="30" t="inlineStr">
        <is>
          <t>Giải thích 3 lợi ích + dẫn review khách hàng + demo trực tiếp</t>
        </is>
      </c>
    </row>
    <row r="26" ht="35" customHeight="1">
      <c r="B26" s="61" t="inlineStr">
        <is>
          <t>Bằng chứng / Social proof</t>
        </is>
      </c>
      <c r="C26" s="61" t="inlineStr">
        <is>
          <t>—</t>
        </is>
      </c>
      <c r="D26" s="61" t="inlineStr">
        <is>
          <t>0=Không có | 1=Tuyên bố suông | 2=Review | 3=Số liệu+Review+Demo</t>
        </is>
      </c>
      <c r="E26" s="61" t="inlineStr">
        <is>
          <t>Social proof giúp tăng niềm tin: review video, số lượng người dùng, chứng chỉ,...</t>
        </is>
      </c>
      <c r="F26" s="61" t="inlineStr">
        <is>
          <t>"Hơn 10,000 khách hàng đã tin dùng – review thật 100%"</t>
        </is>
      </c>
    </row>
    <row r="27" ht="35" customHeight="1">
      <c r="B27" s="30" t="inlineStr">
        <is>
          <t>So sánh sản phẩm</t>
        </is>
      </c>
      <c r="C27" s="30" t="inlineStr">
        <is>
          <t>—</t>
        </is>
      </c>
      <c r="D27" s="30" t="inlineStr">
        <is>
          <t>Y = có so sánh với đối thủ hoặc sản phẩm khác
N = không</t>
        </is>
      </c>
      <c r="E27" s="30" t="inlineStr">
        <is>
          <t>So sánh giúp định vị sản phẩm: so với whey protein thường, collagen từ động vật,...</t>
        </is>
      </c>
      <c r="F27" s="30" t="inlineStr">
        <is>
          <t>Bảng so sánh: Vegan Collagen vs Collagen cá – độ hấp thụ, nguồn gốc, đạo đức</t>
        </is>
      </c>
    </row>
    <row r="28" ht="35" customHeight="1">
      <c r="B28" s="61" t="inlineStr">
        <is>
          <t>Điểm gãy (nói dông dài)</t>
        </is>
      </c>
      <c r="C28" s="61" t="inlineStr">
        <is>
          <t>—</t>
        </is>
      </c>
      <c r="D28" s="61" t="inlineStr">
        <is>
          <t>Y = có đoạn dông dài làm người xem rời đi
N = không</t>
        </is>
      </c>
      <c r="E28" s="61" t="inlineStr">
        <is>
          <t>Xác định timestamp mà Completion Rate giảm mạnh = điểm gãy cần cắt.</t>
        </is>
      </c>
      <c r="F28" s="61" t="inlineStr">
        <is>
          <t>Nếu &gt;15% người xem rời đi tại giây X → cắt/edit lại đoạn đó</t>
        </is>
      </c>
    </row>
    <row r="30" ht="22" customHeight="1">
      <c r="B30" s="68" t="inlineStr">
        <is>
          <t>G. CHẤT LƯỢNG NỘI DUNG – KẾT / CTA (Trọng số nhóm: 10% | trong Điểm ND: 20%)</t>
        </is>
      </c>
    </row>
    <row r="31" ht="30" customHeight="1">
      <c r="B31" s="54" t="inlineStr">
        <is>
          <t>Tiêu chí</t>
        </is>
      </c>
      <c r="C31" s="54" t="inlineStr">
        <is>
          <t>Trọng số</t>
        </is>
      </c>
      <c r="D31" s="54" t="inlineStr">
        <is>
          <t>Ngưỡng điểm</t>
        </is>
      </c>
      <c r="E31" s="54" t="inlineStr">
        <is>
          <t>Mô tả chi tiết</t>
        </is>
      </c>
      <c r="F31" s="54" t="inlineStr">
        <is>
          <t>Ví dụ tốt</t>
        </is>
      </c>
    </row>
    <row r="32" ht="35" customHeight="1">
      <c r="B32" s="30" t="inlineStr">
        <is>
          <t>Điểm Kết/CTA (1-10)</t>
        </is>
      </c>
      <c r="C32" s="30" t="inlineStr">
        <is>
          <t>10%</t>
        </is>
      </c>
      <c r="D32" s="30" t="inlineStr">
        <is>
          <t>1-3=Không có CTA | 4-5=CTA mờ | 6-7=CTA rõ | 8-9=CTA + urgency | 10=CTA + urgency + offer</t>
        </is>
      </c>
      <c r="E32" s="30" t="inlineStr">
        <is>
          <t>CTA phải rõ ràng, có urgency và kèm offer nếu có. Không để người xem đoán phải làm gì.</t>
        </is>
      </c>
      <c r="F32" s="30" t="inlineStr">
        <is>
          <t>"Mua ngay hôm nay – giảm 30% chỉ còn 24h – link bio"</t>
        </is>
      </c>
    </row>
    <row r="33" ht="35" customHeight="1">
      <c r="B33" s="69" t="inlineStr">
        <is>
          <t>Loại CTA</t>
        </is>
      </c>
      <c r="C33" s="69" t="inlineStr">
        <is>
          <t>—</t>
        </is>
      </c>
      <c r="D33" s="69" t="inlineStr">
        <is>
          <t>Phân loại: Link bio | Comment từ khóa | DM | Swipe up | Tag bạn | Follow</t>
        </is>
      </c>
      <c r="E33" s="69" t="inlineStr">
        <is>
          <t>Mỗi loại CTA phù hợp với mục tiêu khác nhau. Bán hàng nên dùng Link bio hoặc Comment từ khóa.</t>
        </is>
      </c>
      <c r="F33" s="69" t="inlineStr">
        <is>
          <t>Comment "COLLAGEN" để nhận báo giá – tăng engagement và warm lead</t>
        </is>
      </c>
    </row>
    <row r="34" ht="35" customHeight="1">
      <c r="B34" s="30" t="inlineStr">
        <is>
          <t>Urgency / Scarcity</t>
        </is>
      </c>
      <c r="C34" s="30" t="inlineStr">
        <is>
          <t>—</t>
        </is>
      </c>
      <c r="D34" s="30" t="inlineStr">
        <is>
          <t>Y = có yếu tố khan hiếm / giới hạn thời gian
N = không</t>
        </is>
      </c>
      <c r="E34" s="30" t="inlineStr">
        <is>
          <t>Urgency tăng tỉ lệ click: 'chỉ còn 50 suất', 'flash sale 2h', 'ưu đãi hết ngày hôm nay'.</t>
        </is>
      </c>
      <c r="F34" s="30" t="inlineStr">
        <is>
          <t>"Flash sale – chỉ còn 2 tiếng – đừng bỏ lỡ"</t>
        </is>
      </c>
    </row>
    <row r="36" ht="22" customHeight="1">
      <c r="B36" s="70" t="inlineStr">
        <is>
          <t>📊  CÔNG THỨC &amp; PHÂN TÍCH TƯƠNG QUAN</t>
        </is>
      </c>
    </row>
    <row r="37" ht="30" customHeight="1">
      <c r="B37" s="24" t="inlineStr">
        <is>
          <t>Phân tích</t>
        </is>
      </c>
      <c r="C37" s="24" t="inlineStr">
        <is>
          <t>Công thức Excel</t>
        </is>
      </c>
      <c r="D37" s="24" t="inlineStr">
        <is>
          <t>Diễn giải</t>
        </is>
      </c>
      <c r="E37" s="24" t="inlineStr">
        <is>
          <t>Ứng dụng</t>
        </is>
      </c>
      <c r="F37" s="24" t="inlineStr">
        <is>
          <t>Ngưỡng ý nghĩa</t>
        </is>
      </c>
    </row>
    <row r="38" ht="35" customHeight="1">
      <c r="B38" s="30" t="inlineStr">
        <is>
          <t>Tương quan Hook vs CTR</t>
        </is>
      </c>
      <c r="C38" s="30">
        <f>CORREL('📋 Dữ liệu Video'!Q3:Q52,'🎬 Phân tích Phân cảnh'!L3:L52)</f>
        <v/>
      </c>
      <c r="D38" s="30" t="inlineStr">
        <is>
          <t>r &gt; 0.6 = Hook ảnh hưởng mạnh đến CTR. r &lt; 0.3 = không tương quan.</t>
        </is>
      </c>
      <c r="E38" s="30" t="inlineStr">
        <is>
          <t>Nếu tương quan cao → ưu tiên đầu tư vào Hook hơn nội dung thân bài.</t>
        </is>
      </c>
      <c r="F38" s="30" t="inlineStr">
        <is>
          <t>r &gt; 0.6 = tương quan cao</t>
        </is>
      </c>
    </row>
    <row r="39" ht="35" customHeight="1">
      <c r="B39" s="61" t="inlineStr">
        <is>
          <t>Tương quan Completion Rate vs ER</t>
        </is>
      </c>
      <c r="C39" s="61">
        <f>CORREL('📋 Dữ liệu Video'!R3:R52,'📋 Dữ liệu Video'!S3:S52)</f>
        <v/>
      </c>
      <c r="D39" s="61" t="inlineStr">
        <is>
          <t>Video được xem hết thường có ER cao hơn. Completion rate ảnh hưởng đến thuật toán.</t>
        </is>
      </c>
      <c r="E39" s="61" t="inlineStr">
        <is>
          <t>Nếu r &gt; 0.7 → tập trung cải thiện khả năng giữ chân người xem.</t>
        </is>
      </c>
      <c r="F39" s="61" t="inlineStr">
        <is>
          <t>r &gt; 0.5 = đáng chú ý</t>
        </is>
      </c>
    </row>
    <row r="40" ht="35" customHeight="1">
      <c r="B40" s="30" t="inlineStr">
        <is>
          <t>Video viral tốt nhất</t>
        </is>
      </c>
      <c r="C40" s="30">
        <f>LARGE('⭐ Bảng Điểm Tổng hợp'!M6:M52,1)</f>
        <v/>
      </c>
      <c r="D40" s="30" t="inlineStr">
        <is>
          <t>Tìm video có Điểm Tổng cao nhất để nhân bản công thức.</t>
        </is>
      </c>
      <c r="E40" s="30" t="inlineStr">
        <is>
          <t>Phân tích video top để tìm pattern: thể loại, thời lượng, sản phẩm...</t>
        </is>
      </c>
      <c r="F40" s="30" t="inlineStr">
        <is>
          <t>Top 20% video tạo ra 80% doanh thu</t>
        </is>
      </c>
    </row>
    <row r="41" ht="35" customHeight="1">
      <c r="B41" s="61" t="inlineStr">
        <is>
          <t>Điểm trung bình theo sản phẩm</t>
        </is>
      </c>
      <c r="C41" s="61">
        <f>AVERAGEIF('📋 Dữ liệu Video'!H3:H52,"Tên SP",'⭐ Bảng Điểm Tổng hợp'!M6:M52)</f>
        <v/>
      </c>
      <c r="D41" s="61" t="inlineStr">
        <is>
          <t>So sánh hiệu quả video theo từng sản phẩm. Sản phẩm nào có điểm cao nhất?</t>
        </is>
      </c>
      <c r="E41" s="61" t="inlineStr">
        <is>
          <t>Ưu tiên sản xuất content cho sản phẩm có điểm trung bình cao nhất.</t>
        </is>
      </c>
      <c r="F41" s="61" t="inlineStr">
        <is>
          <t>Chênh &gt;1.5 điểm = đáng kể</t>
        </is>
      </c>
    </row>
    <row r="42" ht="35" customHeight="1">
      <c r="B42" s="30" t="inlineStr">
        <is>
          <t>Xu hướng theo mùa</t>
        </is>
      </c>
      <c r="C42" s="30">
        <f>AVERAGEIFS(DiemTong,NgayDang,"&gt;=2026-01-01",NgayDang,"&lt;=2026-03-31")</f>
        <v/>
      </c>
      <c r="D42" s="30" t="inlineStr">
        <is>
          <t>So sánh điểm trung bình theo quý để tìm mùa bán hàng tốt nhất.</t>
        </is>
      </c>
      <c r="E42" s="30" t="inlineStr">
        <is>
          <t>Lên kế hoạch sản xuất content theo mùa cao điểm đã xác định.</t>
        </is>
      </c>
      <c r="F42" s="30" t="inlineStr">
        <is>
          <t>Chênh &gt;15% là xu hướng rõ</t>
        </is>
      </c>
    </row>
    <row r="43" ht="35" customHeight="1">
      <c r="B43" s="61" t="inlineStr">
        <is>
          <t>So sánh TikTok vs Facebook</t>
        </is>
      </c>
      <c r="C43" s="61">
        <f>AVERAGEIF('📋 Dữ liệu Video'!D3:D52,"TikTok",'⭐ Bảng Điểm Tổng hợp'!M6:M52)-AVERAGEIF('📋 Dữ liệu Video'!D3:D52,"Facebook Reels",'⭐ Bảng Điểm Tổng hợp'!M6:M52)</f>
        <v/>
      </c>
      <c r="D43" s="61" t="inlineStr">
        <is>
          <t>Đo chênh lệch composite giữa 2 nền tảng trên cùng khung chấm điểm.</t>
        </is>
      </c>
      <c r="E43" s="61" t="inlineStr">
        <is>
          <t>Dùng để xem concept nào nên ưu tiên nhân bản sang Facebook hoặc giữ riêng cho TikTok.</t>
        </is>
      </c>
      <c r="F43" s="61" t="inlineStr">
        <is>
          <t>Nên so trong cùng sản phẩm/cùng loại quảng cáo</t>
        </is>
      </c>
    </row>
  </sheetData>
  <mergeCells count="10">
    <mergeCell ref="B30:F30"/>
    <mergeCell ref="H18:K18"/>
    <mergeCell ref="B1:K1"/>
    <mergeCell ref="B16:F16"/>
    <mergeCell ref="H3:K3"/>
    <mergeCell ref="B11:F11"/>
    <mergeCell ref="H11:K11"/>
    <mergeCell ref="B3:F3"/>
    <mergeCell ref="B23:F23"/>
    <mergeCell ref="B36:F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2026-08-29T03:37:52Z</dcterms:created>
  <dcterms:modified xmlns:dcterms="http://purl.org/dc/terms/" xmlns:xsi="http://www.w3.org/2001/XMLSchema-instance" xsi:type="dcterms:W3CDTF">2026-08-29T03:37:53Z</dcterms:modified>
</cp:coreProperties>
</file>